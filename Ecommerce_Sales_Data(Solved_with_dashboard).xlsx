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24226"/>
  <mc:AlternateContent xmlns:mc="http://schemas.openxmlformats.org/markup-compatibility/2006">
    <mc:Choice Requires="x15">
      <x15ac:absPath xmlns:x15ac="http://schemas.microsoft.com/office/spreadsheetml/2010/11/ac" url="C:\Users\as\Documents\"/>
    </mc:Choice>
  </mc:AlternateContent>
  <xr:revisionPtr revIDLastSave="0" documentId="13_ncr:1_{48C76D38-D882-40B7-9752-A1D530B8EC16}" xr6:coauthVersionLast="47" xr6:coauthVersionMax="47" xr10:uidLastSave="{00000000-0000-0000-0000-000000000000}"/>
  <bookViews>
    <workbookView xWindow="-120" yWindow="-120" windowWidth="20730" windowHeight="11760" firstSheet="1" activeTab="4" xr2:uid="{00000000-000D-0000-FFFF-FFFF00000000}"/>
  </bookViews>
  <sheets>
    <sheet name="monthly_sales" sheetId="5" r:id="rId1"/>
    <sheet name="Sheet6" sheetId="7" r:id="rId2"/>
    <sheet name="Sheet7" sheetId="8" r:id="rId3"/>
    <sheet name="Sheet8" sheetId="9" r:id="rId4"/>
    <sheet name="Dashboard" sheetId="11" r:id="rId5"/>
    <sheet name="Sheet11" sheetId="12" r:id="rId6"/>
    <sheet name="KPIs" sheetId="13" r:id="rId7"/>
    <sheet name="Table1" sheetId="2" r:id="rId8"/>
    <sheet name="regional_total_sales" sheetId="3" r:id="rId9"/>
    <sheet name="top_5_products" sheetId="4" r:id="rId10"/>
    <sheet name="Sheet1" sheetId="1" r:id="rId11"/>
  </sheets>
  <definedNames>
    <definedName name="ExternalData_1" localSheetId="7" hidden="1">Table1!$A$1:$I$401</definedName>
    <definedName name="NativeTimeline_Order_Date">#N/A</definedName>
    <definedName name="Slicer_Months__Order_Date">#N/A</definedName>
    <definedName name="Slicer_Product_Category">#N/A</definedName>
    <definedName name="Slicer_Region">#N/A</definedName>
  </definedNames>
  <calcPr calcId="191029"/>
  <pivotCaches>
    <pivotCache cacheId="0" r:id="rId12"/>
    <pivotCache cacheId="1"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Lst>
</workbook>
</file>

<file path=xl/calcChain.xml><?xml version="1.0" encoding="utf-8"?>
<calcChain xmlns="http://schemas.openxmlformats.org/spreadsheetml/2006/main">
  <c r="F1" i="13" l="1"/>
  <c r="E1" i="13"/>
  <c r="A14" i="11"/>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J401" i="1"/>
  <c r="J400" i="1"/>
  <c r="J399" i="1"/>
  <c r="J398" i="1"/>
  <c r="J397" i="1"/>
  <c r="J396" i="1"/>
  <c r="J395" i="1"/>
  <c r="J394" i="1"/>
  <c r="J393" i="1"/>
  <c r="J392" i="1"/>
  <c r="J391" i="1"/>
  <c r="J390" i="1"/>
  <c r="J389" i="1"/>
  <c r="J388" i="1"/>
  <c r="J387" i="1"/>
  <c r="J386" i="1"/>
  <c r="J385" i="1"/>
  <c r="J384" i="1"/>
  <c r="J383" i="1"/>
  <c r="J382" i="1"/>
  <c r="J381" i="1"/>
  <c r="J380" i="1"/>
  <c r="J379" i="1"/>
  <c r="J378" i="1"/>
  <c r="J377" i="1"/>
  <c r="J376" i="1"/>
  <c r="J375" i="1"/>
  <c r="J374" i="1"/>
  <c r="J373" i="1"/>
  <c r="J372" i="1"/>
  <c r="J371" i="1"/>
  <c r="J370" i="1"/>
  <c r="J369" i="1"/>
  <c r="J368" i="1"/>
  <c r="J367" i="1"/>
  <c r="J366" i="1"/>
  <c r="J365" i="1"/>
  <c r="J364" i="1"/>
  <c r="J363" i="1"/>
  <c r="J362" i="1"/>
  <c r="J361" i="1"/>
  <c r="J360" i="1"/>
  <c r="J359" i="1"/>
  <c r="J358" i="1"/>
  <c r="J357" i="1"/>
  <c r="J356" i="1"/>
  <c r="J355" i="1"/>
  <c r="J354" i="1"/>
  <c r="J353" i="1"/>
  <c r="J352" i="1"/>
  <c r="J351" i="1"/>
  <c r="J350" i="1"/>
  <c r="J349" i="1"/>
  <c r="J348" i="1"/>
  <c r="J347" i="1"/>
  <c r="J346" i="1"/>
  <c r="J345" i="1"/>
  <c r="J344" i="1"/>
  <c r="J343" i="1"/>
  <c r="J342" i="1"/>
  <c r="J341" i="1"/>
  <c r="J340" i="1"/>
  <c r="J339" i="1"/>
  <c r="J338" i="1"/>
  <c r="J337" i="1"/>
  <c r="J336" i="1"/>
  <c r="J335" i="1"/>
  <c r="J334" i="1"/>
  <c r="J333" i="1"/>
  <c r="J332" i="1"/>
  <c r="J331" i="1"/>
  <c r="J330" i="1"/>
  <c r="J329" i="1"/>
  <c r="J328" i="1"/>
  <c r="J327" i="1"/>
  <c r="J326" i="1"/>
  <c r="J325" i="1"/>
  <c r="J324" i="1"/>
  <c r="J323" i="1"/>
  <c r="J322" i="1"/>
  <c r="J321" i="1"/>
  <c r="J320" i="1"/>
  <c r="J319" i="1"/>
  <c r="J318" i="1"/>
  <c r="J317" i="1"/>
  <c r="J316" i="1"/>
  <c r="J315" i="1"/>
  <c r="J314" i="1"/>
  <c r="J313" i="1"/>
  <c r="J312" i="1"/>
  <c r="J311" i="1"/>
  <c r="J310" i="1"/>
  <c r="J309" i="1"/>
  <c r="J308" i="1"/>
  <c r="J307" i="1"/>
  <c r="J306" i="1"/>
  <c r="J305" i="1"/>
  <c r="J304" i="1"/>
  <c r="J303" i="1"/>
  <c r="J302" i="1"/>
  <c r="J301" i="1"/>
  <c r="J300" i="1"/>
  <c r="J299" i="1"/>
  <c r="J298" i="1"/>
  <c r="J297" i="1"/>
  <c r="J296" i="1"/>
  <c r="J295" i="1"/>
  <c r="J294" i="1"/>
  <c r="J293" i="1"/>
  <c r="J292" i="1"/>
  <c r="J291" i="1"/>
  <c r="J290" i="1"/>
  <c r="J289" i="1"/>
  <c r="J288" i="1"/>
  <c r="J287" i="1"/>
  <c r="J286" i="1"/>
  <c r="J285" i="1"/>
  <c r="J284" i="1"/>
  <c r="J283" i="1"/>
  <c r="J282" i="1"/>
  <c r="J281" i="1"/>
  <c r="J280" i="1"/>
  <c r="J279" i="1"/>
  <c r="J278" i="1"/>
  <c r="J277" i="1"/>
  <c r="J276" i="1"/>
  <c r="J275" i="1"/>
  <c r="J274" i="1"/>
  <c r="J273" i="1"/>
  <c r="J272" i="1"/>
  <c r="J271" i="1"/>
  <c r="J270" i="1"/>
  <c r="J269" i="1"/>
  <c r="J268" i="1"/>
  <c r="J267" i="1"/>
  <c r="J266" i="1"/>
  <c r="J265" i="1"/>
  <c r="J264" i="1"/>
  <c r="J263" i="1"/>
  <c r="J262" i="1"/>
  <c r="J261" i="1"/>
  <c r="J260" i="1"/>
  <c r="J259" i="1"/>
  <c r="J258" i="1"/>
  <c r="J257" i="1"/>
  <c r="J256" i="1"/>
  <c r="J255" i="1"/>
  <c r="J254" i="1"/>
  <c r="J253" i="1"/>
  <c r="J252" i="1"/>
  <c r="J251" i="1"/>
  <c r="J250" i="1"/>
  <c r="J249" i="1"/>
  <c r="J248" i="1"/>
  <c r="J247" i="1"/>
  <c r="J246" i="1"/>
  <c r="J245" i="1"/>
  <c r="J244" i="1"/>
  <c r="J243" i="1"/>
  <c r="J242" i="1"/>
  <c r="J241" i="1"/>
  <c r="J240" i="1"/>
  <c r="J239" i="1"/>
  <c r="J238" i="1"/>
  <c r="J237" i="1"/>
  <c r="J236" i="1"/>
  <c r="J235" i="1"/>
  <c r="J234" i="1"/>
  <c r="J233" i="1"/>
  <c r="J232" i="1"/>
  <c r="J231" i="1"/>
  <c r="J230" i="1"/>
  <c r="J229" i="1"/>
  <c r="J228" i="1"/>
  <c r="J227" i="1"/>
  <c r="J226" i="1"/>
  <c r="J225" i="1"/>
  <c r="J224" i="1"/>
  <c r="J223" i="1"/>
  <c r="J222" i="1"/>
  <c r="J221" i="1"/>
  <c r="J220" i="1"/>
  <c r="J219" i="1"/>
  <c r="J218" i="1"/>
  <c r="J217" i="1"/>
  <c r="J216" i="1"/>
  <c r="J215" i="1"/>
  <c r="J214" i="1"/>
  <c r="J213" i="1"/>
  <c r="J212" i="1"/>
  <c r="J211" i="1"/>
  <c r="J210" i="1"/>
  <c r="J209" i="1"/>
  <c r="J208" i="1"/>
  <c r="J207" i="1"/>
  <c r="J206" i="1"/>
  <c r="J205" i="1"/>
  <c r="J204" i="1"/>
  <c r="J203" i="1"/>
  <c r="J202" i="1"/>
  <c r="J201" i="1"/>
  <c r="J200" i="1"/>
  <c r="J199" i="1"/>
  <c r="J198" i="1"/>
  <c r="J197"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J3" i="1"/>
  <c r="J2" i="1"/>
  <c r="E8" i="9"/>
  <c r="H24" i="11"/>
  <c r="I8" i="13"/>
  <c r="G13" i="13"/>
  <c r="E22" i="11"/>
  <c r="F10" i="1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1E01162-F6D9-48BF-96BD-977A8B3CBB2D}"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<sst xmlns="http://schemas.openxmlformats.org/spreadsheetml/2006/main" count="4096" uniqueCount="600">
  <si>
    <t>Order_ID</t>
  </si>
  <si>
    <t>Order_Date</t>
  </si>
  <si>
    <t>Customer_ID</t>
  </si>
  <si>
    <t>Region</t>
  </si>
  <si>
    <t>Product_Category</t>
  </si>
  <si>
    <t>Product_Name</t>
  </si>
  <si>
    <t>Quantity</t>
  </si>
  <si>
    <t>Unit_Price</t>
  </si>
  <si>
    <t>Sales</t>
  </si>
  <si>
    <t>Profit</t>
  </si>
  <si>
    <t>ORD1000</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</si>
  <si>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</si>
  <si>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</si>
  <si>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</si>
  <si>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</si>
  <si>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</si>
  <si>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</si>
  <si>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</si>
  <si>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</si>
  <si>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</si>
  <si>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</si>
  <si>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</si>
  <si>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</si>
  <si>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</si>
  <si>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</si>
  <si>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</si>
  <si>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</si>
  <si>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</si>
  <si>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</si>
  <si>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</si>
  <si>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</si>
  <si>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</si>
  <si>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</si>
  <si>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</si>
  <si>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</si>
  <si>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</si>
  <si>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</si>
  <si>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</si>
  <si>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</si>
  <si>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</si>
  <si>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</si>
  <si>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</si>
  <si>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</si>
  <si>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</si>
  <si>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</si>
  <si>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</si>
  <si>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</si>
  <si>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</si>
  <si>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</si>
  <si>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</si>
  <si>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</si>
  <si>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</si>
  <si>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</si>
  <si>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</si>
  <si>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</si>
  <si>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</si>
  <si>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</si>
  <si>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</si>
  <si>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</si>
  <si>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</si>
  <si>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</si>
  <si>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</si>
  <si>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</si>
  <si>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</si>
  <si>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</si>
  <si>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</si>
  <si>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</si>
  <si>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</si>
  <si>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</si>
  <si>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</si>
  <si>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</si>
  <si>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</si>
  <si>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</si>
  <si>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</si>
  <si>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</si>
  <si>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</si>
  <si>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</si>
  <si>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</si>
  <si>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</si>
  <si>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</si>
  <si>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</si>
  <si>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</si>
  <si>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</si>
  <si>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</si>
  <si>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</si>
  <si>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</si>
  <si>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</si>
  <si>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</si>
  <si>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</si>
  <si>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</si>
  <si>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</si>
  <si>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</si>
  <si>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</si>
  <si>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</si>
  <si>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</si>
  <si>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</si>
  <si>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</si>
  <si>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</si>
  <si>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</si>
  <si>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</si>
  <si>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</si>
  <si>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</si>
  <si>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</si>
  <si>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</si>
  <si>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</si>
  <si>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</si>
  <si>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</si>
  <si>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</si>
  <si>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</si>
  <si>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</si>
  <si>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</si>
  <si>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</si>
  <si>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</si>
  <si>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</si>
  <si>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</si>
  <si>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</si>
  <si>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</si>
  <si>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</si>
  <si>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</si>
  <si>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</si>
  <si>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</si>
  <si>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</si>
  <si>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</si>
  <si>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</si>
  <si>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</si>
  <si>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</si>
  <si>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</si>
  <si>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</si>
  <si>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</si>
  <si>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</si>
  <si>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</si>
  <si>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</si>
  <si>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</si>
  <si>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</si>
  <si>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</si>
  <si>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</si>
  <si>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</si>
  <si>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</si>
  <si>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</si>
  <si>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</si>
  <si>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</si>
  <si>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</si>
  <si>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</si>
  <si>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</si>
  <si>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</si>
  <si>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</si>
  <si>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</si>
  <si>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</si>
  <si>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</si>
  <si>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</si>
  <si>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</si>
  <si>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</si>
  <si>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</si>
  <si>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</si>
  <si>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</si>
  <si>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</si>
  <si>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</si>
  <si>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</si>
  <si>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</si>
  <si>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</si>
  <si>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</si>
  <si>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</si>
  <si>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</si>
  <si>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</si>
  <si>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</si>
  <si>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</si>
  <si>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</si>
  <si>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</si>
  <si>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</si>
  <si>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</si>
  <si>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</si>
  <si>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</si>
  <si>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</si>
  <si>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</si>
  <si>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</si>
  <si>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</si>
  <si>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</si>
  <si>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</si>
  <si>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</si>
  <si>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</si>
  <si>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</si>
  <si>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</si>
  <si>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</si>
  <si>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</si>
  <si>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</si>
  <si>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</si>
  <si>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</si>
  <si>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</si>
  <si>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</si>
  <si>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</si>
  <si>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</si>
  <si>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</si>
  <si>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</si>
  <si>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</si>
  <si>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</si>
  <si>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</si>
  <si>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</si>
  <si>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</si>
  <si>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</si>
  <si>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</si>
  <si>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</si>
  <si>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</si>
  <si>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</si>
  <si>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</si>
  <si>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</si>
  <si>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</si>
  <si>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</si>
  <si>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</si>
  <si>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</si>
  <si>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</si>
  <si>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</si>
  <si>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</si>
  <si>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</si>
  <si>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</si>
  <si>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</si>
  <si>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</si>
  <si>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</si>
  <si>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</si>
  <si>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</si>
  <si>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</si>
  <si>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</si>
  <si>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</si>
  <si>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</si>
  <si>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</si>
  <si>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</si>
  <si>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</si>
  <si>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</si>
  <si>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</si>
  <si>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</si>
  <si>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</si>
  <si>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</si>
  <si>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</si>
  <si>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</si>
  <si>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</si>
  <si>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</si>
  <si>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</si>
  <si>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</si>
  <si>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</si>
  <si>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</si>
  <si>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</si>
  <si>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</si>
  <si>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</si>
  <si>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</si>
  <si>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</si>
  <si>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</si>
  <si>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</si>
  <si>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</si>
  <si>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</si>
  <si>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</si>
  <si>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</si>
  <si>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</si>
  <si>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</si>
  <si>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</si>
  <si>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</si>
  <si>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</si>
  <si>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</si>
  <si>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</si>
  <si>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</si>
  <si>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</si>
  <si>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</si>
  <si>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</si>
  <si>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</si>
  <si>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</si>
  <si>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</si>
  <si>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</si>
  <si>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</si>
  <si>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</si>
  <si>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</si>
  <si>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</si>
  <si>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</si>
  <si>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</si>
  <si>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</si>
  <si>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</si>
  <si>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</si>
  <si>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</si>
  <si>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</si>
  <si>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</si>
  <si>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</si>
  <si>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</si>
  <si>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</si>
  <si>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</si>
  <si>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</si>
  <si>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</si>
  <si>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</si>
  <si>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</si>
  <si>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</si>
  <si>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</si>
  <si>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</si>
  <si>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</si>
  <si>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</si>
  <si>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</si>
  <si>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</si>
  <si>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</si>
  <si>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</si>
  <si>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</si>
  <si>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</si>
  <si>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</si>
  <si>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</si>
  <si>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</si>
  <si>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</si>
  <si>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</si>
  <si>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</si>
  <si>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</si>
  <si>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</si>
  <si>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</si>
  <si>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</si>
  <si>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</si>
  <si>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</si>
  <si>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</si>
  <si>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</si>
  <si>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</si>
  <si>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</si>
  <si>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</si>
  <si>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</si>
  <si>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</si>
  <si>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</si>
  <si>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</si>
  <si>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</si>
  <si>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</si>
  <si>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</si>
  <si>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</si>
  <si>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</si>
  <si>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</si>
  <si>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</si>
  <si>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</si>
  <si>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</si>
  <si>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</si>
  <si>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</si>
  <si>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</si>
  <si>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</si>
  <si>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</si>
  <si>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</si>
  <si>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</si>
  <si>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</si>
  <si>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</si>
  <si>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</si>
  <si>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</si>
  <si>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</si>
  <si>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</si>
  <si>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</si>
  <si>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</si>
  <si>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</si>
  <si>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</si>
  <si>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</si>
  <si>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</si>
  <si>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</si>
  <si>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</si>
  <si>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</si>
  <si>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</si>
  <si>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</si>
  <si>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</si>
  <si>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</si>
  <si>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</si>
  <si>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</si>
  <si>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</si>
  <si>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</si>
  <si>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</si>
  <si>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</si>
  <si>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</si>
  <si>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</si>
  <si>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</si>
  <si>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</si>
  <si>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</si>
  <si>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</si>
  <si>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</si>
  <si>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</si>
  <si>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</si>
  <si>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</si>
  <si>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</si>
  <si>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</si>
  <si>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</si>
  <si>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</si>
  <si>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</si>
  <si>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</si>
  <si>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</si>
  <si>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</si>
  <si>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</si>
  <si>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</si>
  <si>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</si>
  <si>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</si>
  <si>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</si>
  <si>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</si>
  <si>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</si>
  <si>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</si>
  <si>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</si>
  <si>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</si>
  <si>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</si>
  <si>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</si>
  <si>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</si>
  <si>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</si>
  <si>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</si>
  <si>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</si>
  <si>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</si>
  <si>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</si>
  <si>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</si>
  <si>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</si>
  <si>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</si>
  <si>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</si>
  <si>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</si>
  <si>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</si>
  <si>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</si>
  <si>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</si>
  <si>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</si>
  <si>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</si>
  <si>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</si>
  <si>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</si>
  <si>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</si>
  <si>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</si>
  <si>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</si>
  <si>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</si>
  <si>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CUST22</t>
  </si>
  <si>
    <t>CUST52</t>
  </si>
  <si>
    <t>CUST138</t>
  </si>
  <si>
    <t>CUST141</t>
  </si>
  <si>
    <t>CUST35</t>
  </si>
  <si>
    <t>CUST106</t>
  </si>
  <si>
    <t>CUST110</t>
  </si>
  <si>
    <t>CUST41</t>
  </si>
  <si>
    <t>CUST132</t>
  </si>
  <si>
    <t>CUST29</t>
  </si>
  <si>
    <t>CUST10</t>
  </si>
  <si>
    <t>CUST28</t>
  </si>
  <si>
    <t>CUST21</t>
  </si>
  <si>
    <t>CUST119</t>
  </si>
  <si>
    <t>CUST147</t>
  </si>
  <si>
    <t>CUST77</t>
  </si>
  <si>
    <t>CUST39</t>
  </si>
  <si>
    <t>CUST103</t>
  </si>
  <si>
    <t>CUST137</t>
  </si>
  <si>
    <t>CUST126</t>
  </si>
  <si>
    <t>CUST30</t>
  </si>
  <si>
    <t>CUST111</t>
  </si>
  <si>
    <t>CUST11</t>
  </si>
  <si>
    <t>CUST53</t>
  </si>
  <si>
    <t>CUST70</t>
  </si>
  <si>
    <t>CUST82</t>
  </si>
  <si>
    <t>CUST37</t>
  </si>
  <si>
    <t>CUST16</t>
  </si>
  <si>
    <t>CUST24</t>
  </si>
  <si>
    <t>CUST101</t>
  </si>
  <si>
    <t>CUST33</t>
  </si>
  <si>
    <t>CUST69</t>
  </si>
  <si>
    <t>CUST62</t>
  </si>
  <si>
    <t>CUST113</t>
  </si>
  <si>
    <t>CUST112</t>
  </si>
  <si>
    <t>CUST146</t>
  </si>
  <si>
    <t>CUST123</t>
  </si>
  <si>
    <t>CUST107</t>
  </si>
  <si>
    <t>CUST67</t>
  </si>
  <si>
    <t>CUST72</t>
  </si>
  <si>
    <t>CUST8</t>
  </si>
  <si>
    <t>CUST49</t>
  </si>
  <si>
    <t>CUST80</t>
  </si>
  <si>
    <t>CUST34</t>
  </si>
  <si>
    <t>CUST42</t>
  </si>
  <si>
    <t>CUST12</t>
  </si>
  <si>
    <t>CUST65</t>
  </si>
  <si>
    <t>CUST58</t>
  </si>
  <si>
    <t>CUST87</t>
  </si>
  <si>
    <t>CUST59</t>
  </si>
  <si>
    <t>CUST78</t>
  </si>
  <si>
    <t>CUST92</t>
  </si>
  <si>
    <t>CUST17</t>
  </si>
  <si>
    <t>CUST51</t>
  </si>
  <si>
    <t>CUST56</t>
  </si>
  <si>
    <t>CUST90</t>
  </si>
  <si>
    <t>CUST116</t>
  </si>
  <si>
    <t>CUST40</t>
  </si>
  <si>
    <t>CUST13</t>
  </si>
  <si>
    <t>CUST20</t>
  </si>
  <si>
    <t>CUST121</t>
  </si>
  <si>
    <t>CUST97</t>
  </si>
  <si>
    <t>CUST76</t>
  </si>
  <si>
    <t>CUST71</t>
  </si>
  <si>
    <t>CUST117</t>
  </si>
  <si>
    <t>CUST32</t>
  </si>
  <si>
    <t>CUST81</t>
  </si>
  <si>
    <t>CUST61</t>
  </si>
  <si>
    <t>CUST73</t>
  </si>
  <si>
    <t>CUST89</t>
  </si>
  <si>
    <t>CUST104</t>
  </si>
  <si>
    <t>CUST139</t>
  </si>
  <si>
    <t>CUST1</t>
  </si>
  <si>
    <t>CUST19</t>
  </si>
  <si>
    <t>CUST145</t>
  </si>
  <si>
    <t>CUST75</t>
  </si>
  <si>
    <t>CUST118</t>
  </si>
  <si>
    <t>CUST122</t>
  </si>
  <si>
    <t>CUST131</t>
  </si>
  <si>
    <t>CUST127</t>
  </si>
  <si>
    <t>CUST136</t>
  </si>
  <si>
    <t>CUST7</t>
  </si>
  <si>
    <t>CUST95</t>
  </si>
  <si>
    <t>CUST133</t>
  </si>
  <si>
    <t>CUST144</t>
  </si>
  <si>
    <t>CUST15</t>
  </si>
  <si>
    <t>CUST31</t>
  </si>
  <si>
    <t>CUST108</t>
  </si>
  <si>
    <t>CUST94</t>
  </si>
  <si>
    <t>CUST66</t>
  </si>
  <si>
    <t>CUST140</t>
  </si>
  <si>
    <t>CUST2</t>
  </si>
  <si>
    <t>CUST74</t>
  </si>
  <si>
    <t>CUST4</t>
  </si>
  <si>
    <t>CUST63</t>
  </si>
  <si>
    <t>CUST143</t>
  </si>
  <si>
    <t>CUST27</t>
  </si>
  <si>
    <t>CUST130</t>
  </si>
  <si>
    <t>CUST64</t>
  </si>
  <si>
    <t>CUST125</t>
  </si>
  <si>
    <t>CUST44</t>
  </si>
  <si>
    <t>CUST38</t>
  </si>
  <si>
    <t>CUST129</t>
  </si>
  <si>
    <t>CUST83</t>
  </si>
  <si>
    <t>CUST134</t>
  </si>
  <si>
    <t>CUST57</t>
  </si>
  <si>
    <t>CUST6</t>
  </si>
  <si>
    <t>CUST100</t>
  </si>
  <si>
    <t>CUST85</t>
  </si>
  <si>
    <t>CUST79</t>
  </si>
  <si>
    <t>CUST84</t>
  </si>
  <si>
    <t>CUST43</t>
  </si>
  <si>
    <t>CUST148</t>
  </si>
  <si>
    <t>CUST14</t>
  </si>
  <si>
    <t>CUST26</t>
  </si>
  <si>
    <t>CUST149</t>
  </si>
  <si>
    <t>CUST25</t>
  </si>
  <si>
    <t>CUST23</t>
  </si>
  <si>
    <t>CUST5</t>
  </si>
  <si>
    <t>CUST91</t>
  </si>
  <si>
    <t>CUST48</t>
  </si>
  <si>
    <t>CUST9</t>
  </si>
  <si>
    <t>CUST86</t>
  </si>
  <si>
    <t>CUST114</t>
  </si>
  <si>
    <t>CUST128</t>
  </si>
  <si>
    <t>CUST115</t>
  </si>
  <si>
    <t>CUST60</t>
  </si>
  <si>
    <t>CUST105</t>
  </si>
  <si>
    <t>CUST124</t>
  </si>
  <si>
    <t>CUST3</t>
  </si>
  <si>
    <t>CUST18</t>
  </si>
  <si>
    <t>CUST99</t>
  </si>
  <si>
    <t>CUST45</t>
  </si>
  <si>
    <t>CUST109</t>
  </si>
  <si>
    <t>CUST96</t>
  </si>
  <si>
    <t>CUST142</t>
  </si>
  <si>
    <t>CUST55</t>
  </si>
  <si>
    <t>CUST150</t>
  </si>
  <si>
    <t>CUST36</t>
  </si>
  <si>
    <t>East</t>
  </si>
  <si>
    <t>West</t>
  </si>
  <si>
    <t>North</t>
  </si>
  <si>
    <t>South</t>
  </si>
  <si>
    <t>Beauty</t>
  </si>
  <si>
    <t>Clothing</t>
  </si>
  <si>
    <t>Electronics</t>
  </si>
  <si>
    <t>Furniture</t>
  </si>
  <si>
    <t>Perfume</t>
  </si>
  <si>
    <t>T-Shirt</t>
  </si>
  <si>
    <t>Tablet</t>
  </si>
  <si>
    <t>Face Cream</t>
  </si>
  <si>
    <t>Sofa</t>
  </si>
  <si>
    <t>Shampoo</t>
  </si>
  <si>
    <t>Bed</t>
  </si>
  <si>
    <t>Shoes</t>
  </si>
  <si>
    <t>Chair</t>
  </si>
  <si>
    <t>Headphones</t>
  </si>
  <si>
    <t>Laptop</t>
  </si>
  <si>
    <t>Table</t>
  </si>
  <si>
    <t>Bookshelf</t>
  </si>
  <si>
    <t>Smartwatch</t>
  </si>
  <si>
    <t>Lotion</t>
  </si>
  <si>
    <t>Dress</t>
  </si>
  <si>
    <t>Jacket</t>
  </si>
  <si>
    <t>Jeans</t>
  </si>
  <si>
    <t>Smartphone</t>
  </si>
  <si>
    <t>Lipstick</t>
  </si>
  <si>
    <t xml:space="preserve">    </t>
  </si>
  <si>
    <t>Sales_check</t>
  </si>
  <si>
    <t>Row Labels</t>
  </si>
  <si>
    <t>Grand Total</t>
  </si>
  <si>
    <t>Sum of Sales</t>
  </si>
  <si>
    <t>Jan</t>
  </si>
  <si>
    <t>Feb</t>
  </si>
  <si>
    <t>Mar</t>
  </si>
  <si>
    <t>Apr</t>
  </si>
  <si>
    <t>May</t>
  </si>
  <si>
    <t>Jun</t>
  </si>
  <si>
    <t>Jul</t>
  </si>
  <si>
    <t>Aug</t>
  </si>
  <si>
    <t>Sep</t>
  </si>
  <si>
    <t>Oct</t>
  </si>
  <si>
    <t>Nov</t>
  </si>
  <si>
    <t>Dec</t>
  </si>
  <si>
    <t>Profit2</t>
  </si>
  <si>
    <t>Profit_margin%</t>
  </si>
  <si>
    <t>profit_margin</t>
  </si>
  <si>
    <t>Average of profit_margin</t>
  </si>
  <si>
    <t>Sum of Profit2</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</si>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</sst>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4.9989318521683403E-2"/>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3">
    <xf numFmtId="0" fontId="0" fillId="0" borderId="0" xfId="0"/>
    <xf numFmtId="14" fontId="0" fillId="0" borderId="0" xfId="0" applyNumberFormat="1"/>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22" fontId="0" fillId="0" borderId="0" xfId="0" applyNumberFormat="1"/>
    <xf numFmtId="0" fontId="0" fillId="0" borderId="0" xfId="0" pivotButton="1"/>
    <xf numFmtId="0" fontId="0" fillId="0" borderId="0" xfId="0" applyAlignment="1">
      <alignment horizontal="left"/>
    </xf>
    <xf numFmtId="0" fontId="1" fillId="0" borderId="0" xfId="0" applyFont="1"/>
    <xf numFmtId="0" fontId="0" fillId="0" borderId="0" xfId="0" applyNumberFormat="1"/>
    <xf numFmtId="0" fontId="0" fillId="2" borderId="0" xfId="0" applyFill="1"/>
    <xf numFmtId="0" fontId="0" fillId="2" borderId="0" xfId="0" applyFill="1" applyAlignment="1">
      <alignment horizontal="left"/>
    </xf>
    <xf numFmtId="0" fontId="0" fillId="2" borderId="0" xfId="0" applyNumberFormat="1" applyFill="1"/>
    <xf numFmtId="164" fontId="0" fillId="2" borderId="0" xfId="0" applyNumberFormat="1" applyFill="1"/>
  </cellXfs>
  <cellStyles count="1">
    <cellStyle name="Normal" xfId="0" builtinId="0"/>
  </cellStyles>
  <dxfs count="126">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4.9989318521683403E-2"/>
        </patternFill>
      </fill>
    </dxf>
    <dxf>
      <fill>
        <patternFill>
          <bgColor theme="0" tint="-0.14999847407452621"/>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0" formatCode="General"/>
    </dxf>
    <dxf>
      <numFmt numFmtId="0" formatCode="General"/>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font>
        <b/>
      </font>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[Ecommerce_Sales_Data(Solved_with_dashboard).xlsx]monthly_sales!PivotTable3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monthly_sales!$B$3</c:f>
              <c:strCache>
                <c:ptCount val="1"/>
                <c:pt idx="0">
                  <c:v>Total</c:v>
                </c:pt>
              </c:strCache>
            </c:strRef>
          </c:tx>
          <c:spPr>
            <a:ln w="28575" cap="rnd">
              <a:solidFill>
                <a:schemeClr val="accent1"/>
              </a:solidFill>
              <a:round/>
            </a:ln>
            <a:effectLst/>
          </c:spPr>
          <c:marker>
            <c:symbol val="none"/>
          </c:marker>
          <c:cat>
            <c:strRef>
              <c:f>monthly_sales!$A$4:$A$16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monthly_sales!$B$4:$B$16</c:f>
              <c:numCache>
                <c:formatCode>General</c:formatCode>
                <c:ptCount val="12"/>
                <c:pt idx="0">
                  <c:v>500569</c:v>
                </c:pt>
                <c:pt idx="1">
                  <c:v>374571</c:v>
                </c:pt>
                <c:pt idx="2">
                  <c:v>424943</c:v>
                </c:pt>
                <c:pt idx="3">
                  <c:v>448225</c:v>
                </c:pt>
                <c:pt idx="4">
                  <c:v>541441</c:v>
                </c:pt>
                <c:pt idx="5">
                  <c:v>486909</c:v>
                </c:pt>
                <c:pt idx="6">
                  <c:v>288011</c:v>
                </c:pt>
                <c:pt idx="7">
                  <c:v>465484</c:v>
                </c:pt>
                <c:pt idx="8">
                  <c:v>362840</c:v>
                </c:pt>
                <c:pt idx="9">
                  <c:v>514648</c:v>
                </c:pt>
                <c:pt idx="10">
                  <c:v>349519</c:v>
                </c:pt>
                <c:pt idx="11">
                  <c:v>235523</c:v>
                </c:pt>
              </c:numCache>
            </c:numRef>
          </c:val>
          <c:smooth val="0"/>
          <c:extLst>
            <c:ext xmlns:c16="http://schemas.microsoft.com/office/drawing/2014/chart" uri="{C3380CC4-5D6E-409C-BE32-E72D297353CC}">
              <c16:uniqueId val="{00000000-FEDD-4F99-91A9-96A5551543A2}"/>
            </c:ext>
          </c:extLst>
        </c:ser>
        <c:dLbls>
          <c:showLegendKey val="0"/>
          <c:showVal val="0"/>
          <c:showCatName val="0"/>
          <c:showSerName val="0"/>
          <c:showPercent val="0"/>
          <c:showBubbleSize val="0"/>
        </c:dLbls>
        <c:smooth val="0"/>
        <c:axId val="1619659055"/>
        <c:axId val="1619659535"/>
      </c:lineChart>
      <c:catAx>
        <c:axId val="1619659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659535"/>
        <c:crosses val="autoZero"/>
        <c:auto val="1"/>
        <c:lblAlgn val="ctr"/>
        <c:lblOffset val="100"/>
        <c:noMultiLvlLbl val="0"/>
      </c:catAx>
      <c:valAx>
        <c:axId val="1619659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659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[Ecommerce_Sales_Data(Solved_with_dashboard).xlsx]Dashboard!PivotTable7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Black" panose="020B0A04020102020204" pitchFamily="34" charset="0"/>
                <a:ea typeface="+mn-ea"/>
                <a:cs typeface="+mn-cs"/>
              </a:defRPr>
            </a:pPr>
            <a:r>
              <a:rPr lang="en-US"/>
              <a:t>Region wise</a:t>
            </a:r>
            <a:r>
              <a:rPr lang="en-US" baseline="0"/>
              <a:t> Sales</a:t>
            </a:r>
            <a:endParaRPr lang="en-US"/>
          </a:p>
        </c:rich>
      </c:tx>
      <c:layout>
        <c:manualLayout>
          <c:xMode val="edge"/>
          <c:yMode val="edge"/>
          <c:x val="0.27963586448245692"/>
          <c:y val="0.1031553444483407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Dashboard!$B$3</c:f>
              <c:strCache>
                <c:ptCount val="1"/>
                <c:pt idx="0">
                  <c:v>Total</c:v>
                </c:pt>
              </c:strCache>
            </c:strRef>
          </c:tx>
          <c:spPr>
            <a:solidFill>
              <a:schemeClr val="accent1"/>
            </a:solidFill>
            <a:ln>
              <a:noFill/>
            </a:ln>
            <a:effectLst/>
          </c:spPr>
          <c:invertIfNegative val="0"/>
          <c:cat>
            <c:strRef>
              <c:f>Dashboard!$A$4:$A$8</c:f>
              <c:strCache>
                <c:ptCount val="4"/>
                <c:pt idx="0">
                  <c:v>East</c:v>
                </c:pt>
                <c:pt idx="1">
                  <c:v>North</c:v>
                </c:pt>
                <c:pt idx="2">
                  <c:v>South</c:v>
                </c:pt>
                <c:pt idx="3">
                  <c:v>West</c:v>
                </c:pt>
              </c:strCache>
            </c:strRef>
          </c:cat>
          <c:val>
            <c:numRef>
              <c:f>Dashboard!$B$4:$B$8</c:f>
              <c:numCache>
                <c:formatCode>General</c:formatCode>
                <c:ptCount val="4"/>
                <c:pt idx="0">
                  <c:v>1154477</c:v>
                </c:pt>
                <c:pt idx="1">
                  <c:v>1072163</c:v>
                </c:pt>
                <c:pt idx="2">
                  <c:v>1103292</c:v>
                </c:pt>
                <c:pt idx="3">
                  <c:v>1662751</c:v>
                </c:pt>
              </c:numCache>
            </c:numRef>
          </c:val>
          <c:extLst>
            <c:ext xmlns:c16="http://schemas.microsoft.com/office/drawing/2014/chart" uri="{C3380CC4-5D6E-409C-BE32-E72D297353CC}">
              <c16:uniqueId val="{00000000-461B-4BBF-9BE6-53C24CDD8CF6}"/>
            </c:ext>
          </c:extLst>
        </c:ser>
        <c:dLbls>
          <c:showLegendKey val="0"/>
          <c:showVal val="0"/>
          <c:showCatName val="0"/>
          <c:showSerName val="0"/>
          <c:showPercent val="0"/>
          <c:showBubbleSize val="0"/>
        </c:dLbls>
        <c:gapWidth val="219"/>
        <c:overlap val="-27"/>
        <c:axId val="1660570879"/>
        <c:axId val="1660564639"/>
      </c:barChart>
      <c:catAx>
        <c:axId val="1660570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1660564639"/>
        <c:crosses val="autoZero"/>
        <c:auto val="1"/>
        <c:lblAlgn val="ctr"/>
        <c:lblOffset val="100"/>
        <c:noMultiLvlLbl val="0"/>
      </c:catAx>
      <c:valAx>
        <c:axId val="1660564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1660570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latin typeface="Arial Black" panose="020B0A040201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[Ecommerce_Sales_Data(Solved_with_dashboard).xlsx]monthly_sales!PivotTable3</c:name>
    <c:fmtId val="5"/>
  </c:pivotSource>
  <c:chart>
    <c:title>
      <c:tx>
        <c:rich>
          <a:bodyPr rot="0" vert="horz"/>
          <a:lstStyle/>
          <a:p>
            <a:pPr>
              <a:defRPr/>
            </a:pPr>
            <a:r>
              <a:rPr lang="en-US"/>
              <a:t>Monthly</a:t>
            </a:r>
            <a:r>
              <a:rPr lang="en-US" baseline="0"/>
              <a:t> Sales Trend</a:t>
            </a:r>
            <a:endParaRPr lang="en-US"/>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1"/>
          <c:order val="0"/>
          <c:tx>
            <c:strRef>
              <c:f>monthly_sales!$B$3</c:f>
              <c:strCache>
                <c:ptCount val="1"/>
                <c:pt idx="0">
                  <c:v>Total</c:v>
                </c:pt>
              </c:strCache>
            </c:strRef>
          </c:tx>
          <c:marker>
            <c:symbol val="none"/>
          </c:marker>
          <c:cat>
            <c:strRef>
              <c:f>monthly_sales!$A$4:$A$16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monthly_sales!$B$4:$B$16</c:f>
              <c:numCache>
                <c:formatCode>General</c:formatCode>
                <c:ptCount val="12"/>
                <c:pt idx="0">
                  <c:v>500569</c:v>
                </c:pt>
                <c:pt idx="1">
                  <c:v>374571</c:v>
                </c:pt>
                <c:pt idx="2">
                  <c:v>424943</c:v>
                </c:pt>
                <c:pt idx="3">
                  <c:v>448225</c:v>
                </c:pt>
                <c:pt idx="4">
                  <c:v>541441</c:v>
                </c:pt>
                <c:pt idx="5">
                  <c:v>486909</c:v>
                </c:pt>
                <c:pt idx="6">
                  <c:v>288011</c:v>
                </c:pt>
                <c:pt idx="7">
                  <c:v>465484</c:v>
                </c:pt>
                <c:pt idx="8">
                  <c:v>362840</c:v>
                </c:pt>
                <c:pt idx="9">
                  <c:v>514648</c:v>
                </c:pt>
                <c:pt idx="10">
                  <c:v>349519</c:v>
                </c:pt>
                <c:pt idx="11">
                  <c:v>235523</c:v>
                </c:pt>
              </c:numCache>
            </c:numRef>
          </c:val>
          <c:smooth val="0"/>
          <c:extLst>
            <c:ext xmlns:c16="http://schemas.microsoft.com/office/drawing/2014/chart" uri="{C3380CC4-5D6E-409C-BE32-E72D297353CC}">
              <c16:uniqueId val="{00000003-129F-4A86-856B-08869DBFE441}"/>
            </c:ext>
          </c:extLst>
        </c:ser>
        <c:dLbls>
          <c:showLegendKey val="0"/>
          <c:showVal val="0"/>
          <c:showCatName val="0"/>
          <c:showSerName val="0"/>
          <c:showPercent val="0"/>
          <c:showBubbleSize val="0"/>
        </c:dLbls>
        <c:smooth val="0"/>
        <c:axId val="1619659055"/>
        <c:axId val="1619659535"/>
      </c:lineChart>
      <c:catAx>
        <c:axId val="1619659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1619659535"/>
        <c:crosses val="autoZero"/>
        <c:auto val="1"/>
        <c:lblAlgn val="ctr"/>
        <c:lblOffset val="100"/>
        <c:noMultiLvlLbl val="0"/>
      </c:catAx>
      <c:valAx>
        <c:axId val="1619659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vert="horz"/>
          <a:lstStyle/>
          <a:p>
            <a:pPr>
              <a:defRPr/>
            </a:pPr>
            <a:endParaRPr lang="en-US"/>
          </a:p>
        </c:txPr>
        <c:crossAx val="1619659055"/>
        <c:crosses val="autoZero"/>
        <c:crossBetween val="between"/>
      </c:valAx>
    </c:plotArea>
    <c:legend>
      <c:legendPos val="r"/>
      <c:overlay val="0"/>
      <c:spPr>
        <a:noFill/>
        <a:ln>
          <a:noFill/>
        </a:ln>
        <a:effectLst/>
      </c:spPr>
      <c:txPr>
        <a:bodyPr rot="0" vert="horz"/>
        <a:lstStyle/>
        <a:p>
          <a:pPr>
            <a:defRPr/>
          </a:pPr>
          <a:endParaRPr lang="en-US"/>
        </a:p>
      </c:txPr>
    </c:legend>
    <c:plotVisOnly val="1"/>
    <c:dispBlanksAs val="gap"/>
    <c:showDLblsOverMax val="0"/>
    <c:extLst/>
  </c:chart>
  <c:spPr>
    <a:solidFill>
      <a:srgbClr val="92D050"/>
    </a:solidFill>
  </c:spPr>
  <c:txPr>
    <a:bodyPr/>
    <a:lstStyle/>
    <a:p>
      <a:pPr>
        <a:defRPr>
          <a:latin typeface="Arial Black" panose="020B0A040201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[Ecommerce_Sales_Data(Solved_with_dashboard).xlsx]Table1!PivotTable8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Black" panose="020B0A04020102020204" pitchFamily="34" charset="0"/>
                <a:ea typeface="+mn-ea"/>
                <a:cs typeface="+mn-cs"/>
              </a:defRPr>
            </a:pPr>
            <a:r>
              <a:rPr lang="en-US"/>
              <a:t>Category</a:t>
            </a:r>
            <a:r>
              <a:rPr lang="en-US" baseline="0"/>
              <a:t>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Table1!$O$6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D38-469D-8498-1E041CFCF6F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D38-469D-8498-1E041CFCF6F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D38-469D-8498-1E041CFCF6F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1D38-469D-8498-1E041CFCF6F5}"/>
              </c:ext>
            </c:extLst>
          </c:dPt>
          <c:cat>
            <c:strRef>
              <c:f>Table1!$N$7:$N$11</c:f>
              <c:strCache>
                <c:ptCount val="4"/>
                <c:pt idx="0">
                  <c:v>Beauty</c:v>
                </c:pt>
                <c:pt idx="1">
                  <c:v>Clothing</c:v>
                </c:pt>
                <c:pt idx="2">
                  <c:v>Electronics</c:v>
                </c:pt>
                <c:pt idx="3">
                  <c:v>Furniture</c:v>
                </c:pt>
              </c:strCache>
            </c:strRef>
          </c:cat>
          <c:val>
            <c:numRef>
              <c:f>Table1!$O$7:$O$11</c:f>
              <c:numCache>
                <c:formatCode>General</c:formatCode>
                <c:ptCount val="4"/>
                <c:pt idx="0">
                  <c:v>1318811</c:v>
                </c:pt>
                <c:pt idx="1">
                  <c:v>1184465</c:v>
                </c:pt>
                <c:pt idx="2">
                  <c:v>1280892</c:v>
                </c:pt>
                <c:pt idx="3">
                  <c:v>1208515</c:v>
                </c:pt>
              </c:numCache>
            </c:numRef>
          </c:val>
          <c:extLst>
            <c:ext xmlns:c16="http://schemas.microsoft.com/office/drawing/2014/chart" uri="{C3380CC4-5D6E-409C-BE32-E72D297353CC}">
              <c16:uniqueId val="{00000008-1D38-469D-8498-1E041CFCF6F5}"/>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00"/>
    </a:solidFill>
    <a:ln w="9525" cap="flat" cmpd="sng" algn="ctr">
      <a:solidFill>
        <a:schemeClr val="tx1">
          <a:lumMod val="15000"/>
          <a:lumOff val="85000"/>
        </a:schemeClr>
      </a:solidFill>
      <a:round/>
    </a:ln>
    <a:effectLst/>
  </c:spPr>
  <c:txPr>
    <a:bodyPr/>
    <a:lstStyle/>
    <a:p>
      <a:pPr>
        <a:defRPr>
          <a:latin typeface="Arial Black" panose="020B0A040201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[Ecommerce_Sales_Data(Solved_with_dashboard).xlsx]monthly_sales!PivotTable3</c:name>
    <c:fmtId val="8"/>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t>Total Sales</a:t>
            </a:r>
          </a:p>
          <a:p>
            <a:pPr>
              <a:defRPr/>
            </a:pPr>
            <a:endParaRPr lang="en-US"/>
          </a:p>
        </c:rich>
      </c:tx>
      <c:layout>
        <c:manualLayout>
          <c:xMode val="edge"/>
          <c:yMode val="edge"/>
          <c:x val="0.46076580140401113"/>
          <c:y val="2.422254036427264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cmpd="sng" algn="ctr">
            <a:solidFill>
              <a:schemeClr val="accent1">
                <a:shade val="95000"/>
                <a:satMod val="105000"/>
              </a:schemeClr>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9048603177385E-2"/>
          <c:y val="0.47499493935807041"/>
          <c:w val="0.98809523809523814"/>
          <c:h val="0.36805688746037996"/>
        </c:manualLayout>
      </c:layout>
      <c:lineChart>
        <c:grouping val="standard"/>
        <c:varyColors val="0"/>
        <c:ser>
          <c:idx val="1"/>
          <c:order val="0"/>
          <c:tx>
            <c:strRef>
              <c:f>monthly_sales!$B$3</c:f>
              <c:strCache>
                <c:ptCount val="1"/>
                <c:pt idx="0">
                  <c:v>Total</c:v>
                </c:pt>
              </c:strCache>
            </c:strRef>
          </c:tx>
          <c:spPr>
            <a:ln w="28575" cap="rnd" cmpd="sng" algn="ctr">
              <a:solidFill>
                <a:schemeClr val="accent2">
                  <a:shade val="95000"/>
                  <a:satMod val="105000"/>
                </a:schemeClr>
              </a:solidFill>
              <a:prstDash val="solid"/>
              <a:round/>
            </a:ln>
            <a:effectLst/>
          </c:spPr>
          <c:marker>
            <c:symbol val="none"/>
          </c:marker>
          <c:cat>
            <c:strRef>
              <c:f>monthly_sales!$A$4:$A$16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monthly_sales!$B$4:$B$16</c:f>
              <c:numCache>
                <c:formatCode>General</c:formatCode>
                <c:ptCount val="12"/>
                <c:pt idx="0">
                  <c:v>500569</c:v>
                </c:pt>
                <c:pt idx="1">
                  <c:v>374571</c:v>
                </c:pt>
                <c:pt idx="2">
                  <c:v>424943</c:v>
                </c:pt>
                <c:pt idx="3">
                  <c:v>448225</c:v>
                </c:pt>
                <c:pt idx="4">
                  <c:v>541441</c:v>
                </c:pt>
                <c:pt idx="5">
                  <c:v>486909</c:v>
                </c:pt>
                <c:pt idx="6">
                  <c:v>288011</c:v>
                </c:pt>
                <c:pt idx="7">
                  <c:v>465484</c:v>
                </c:pt>
                <c:pt idx="8">
                  <c:v>362840</c:v>
                </c:pt>
                <c:pt idx="9">
                  <c:v>514648</c:v>
                </c:pt>
                <c:pt idx="10">
                  <c:v>349519</c:v>
                </c:pt>
                <c:pt idx="11">
                  <c:v>235523</c:v>
                </c:pt>
              </c:numCache>
            </c:numRef>
          </c:val>
          <c:smooth val="0"/>
          <c:extLst>
            <c:ext xmlns:c16="http://schemas.microsoft.com/office/drawing/2014/chart" uri="{C3380CC4-5D6E-409C-BE32-E72D297353CC}">
              <c16:uniqueId val="{00000000-5528-4856-9B7B-97ACB0BDD793}"/>
            </c:ext>
          </c:extLst>
        </c:ser>
        <c:dLbls>
          <c:showLegendKey val="0"/>
          <c:showVal val="0"/>
          <c:showCatName val="0"/>
          <c:showSerName val="0"/>
          <c:showPercent val="0"/>
          <c:showBubbleSize val="0"/>
        </c:dLbls>
        <c:smooth val="0"/>
        <c:axId val="1619659055"/>
        <c:axId val="1619659535"/>
      </c:lineChart>
      <c:catAx>
        <c:axId val="1619659055"/>
        <c:scaling>
          <c:orientation val="minMax"/>
        </c:scaling>
        <c:delete val="1"/>
        <c:axPos val="b"/>
        <c:numFmt formatCode="General" sourceLinked="1"/>
        <c:majorTickMark val="none"/>
        <c:minorTickMark val="none"/>
        <c:tickLblPos val="nextTo"/>
        <c:crossAx val="1619659535"/>
        <c:crosses val="autoZero"/>
        <c:auto val="1"/>
        <c:lblAlgn val="ctr"/>
        <c:lblOffset val="100"/>
        <c:noMultiLvlLbl val="0"/>
      </c:catAx>
      <c:valAx>
        <c:axId val="1619659535"/>
        <c:scaling>
          <c:orientation val="minMax"/>
        </c:scaling>
        <c:delete val="1"/>
        <c:axPos val="l"/>
        <c:numFmt formatCode="General" sourceLinked="1"/>
        <c:majorTickMark val="none"/>
        <c:minorTickMark val="none"/>
        <c:tickLblPos val="nextTo"/>
        <c:crossAx val="1619659055"/>
        <c:crosses val="autoZero"/>
        <c:crossBetween val="between"/>
      </c:valAx>
      <c:spPr>
        <a:solidFill>
          <a:schemeClr val="bg1"/>
        </a:solidFill>
        <a:ln>
          <a:noFill/>
        </a:ln>
        <a:effectLst/>
      </c:spPr>
    </c:plotArea>
    <c:plotVisOnly val="1"/>
    <c:dispBlanksAs val="gap"/>
    <c:showDLblsOverMax val="0"/>
    <c:extLst/>
  </c:chart>
  <c:spPr>
    <a:solidFill>
      <a:srgbClr val="FFC000"/>
    </a:solidFill>
    <a:ln w="9525" cap="flat" cmpd="sng" algn="ctr">
      <a:solidFill>
        <a:schemeClr val="tx1">
          <a:tint val="75000"/>
          <a:shade val="95000"/>
          <a:satMod val="1050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47625</xdr:colOff>
      <xdr:row>5</xdr:row>
      <xdr:rowOff>28575</xdr:rowOff>
    </xdr:from>
    <xdr:to>
      <xdr:col>10</xdr:col>
      <xdr:colOff>352425</xdr:colOff>
      <xdr:row>19</xdr:row>
      <xdr:rowOff>104775</xdr:rowOff>
    </xdr:to>
    <xdr:graphicFrame macro="">
      <xdr:nvGraphicFramePr>
        <xdr:cNvPr id="2" name="Chart 1">
          <a:extLst>
            <a:ext uri="{FF2B5EF4-FFF2-40B4-BE49-F238E27FC236}">
              <a16:creationId xmlns:a16="http://schemas.microsoft.com/office/drawing/2014/main" id="{5EF69310-028B-AB66-5AD2-F7373ED016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19050</xdr:rowOff>
    </xdr:from>
    <xdr:to>
      <xdr:col>4</xdr:col>
      <xdr:colOff>409575</xdr:colOff>
      <xdr:row>12</xdr:row>
      <xdr:rowOff>85725</xdr:rowOff>
    </xdr:to>
    <xdr:graphicFrame macro="">
      <xdr:nvGraphicFramePr>
        <xdr:cNvPr id="2" name="Chart 1">
          <a:extLst>
            <a:ext uri="{FF2B5EF4-FFF2-40B4-BE49-F238E27FC236}">
              <a16:creationId xmlns:a16="http://schemas.microsoft.com/office/drawing/2014/main" id="{AEF9F2D1-46DD-51A2-A484-496E87FC71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409575</xdr:colOff>
      <xdr:row>0</xdr:row>
      <xdr:rowOff>19049</xdr:rowOff>
    </xdr:from>
    <xdr:to>
      <xdr:col>10</xdr:col>
      <xdr:colOff>447675</xdr:colOff>
      <xdr:row>12</xdr:row>
      <xdr:rowOff>85724</xdr:rowOff>
    </xdr:to>
    <xdr:graphicFrame macro="">
      <xdr:nvGraphicFramePr>
        <xdr:cNvPr id="3" name="Chart 2">
          <a:extLst>
            <a:ext uri="{FF2B5EF4-FFF2-40B4-BE49-F238E27FC236}">
              <a16:creationId xmlns:a16="http://schemas.microsoft.com/office/drawing/2014/main" id="{0B3D1ADF-42E3-B329-04F4-DEE4CB5A9D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428625</xdr:colOff>
      <xdr:row>0</xdr:row>
      <xdr:rowOff>1</xdr:rowOff>
    </xdr:from>
    <xdr:to>
      <xdr:col>17</xdr:col>
      <xdr:colOff>142875</xdr:colOff>
      <xdr:row>12</xdr:row>
      <xdr:rowOff>76201</xdr:rowOff>
    </xdr:to>
    <xdr:graphicFrame macro="">
      <xdr:nvGraphicFramePr>
        <xdr:cNvPr id="5" name="Chart 4">
          <a:extLst>
            <a:ext uri="{FF2B5EF4-FFF2-40B4-BE49-F238E27FC236}">
              <a16:creationId xmlns:a16="http://schemas.microsoft.com/office/drawing/2014/main" id="{5E58A231-E4C9-4D07-A273-4379CF3EFA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152399</xdr:colOff>
      <xdr:row>4</xdr:row>
      <xdr:rowOff>133350</xdr:rowOff>
    </xdr:from>
    <xdr:to>
      <xdr:col>19</xdr:col>
      <xdr:colOff>504824</xdr:colOff>
      <xdr:row>9</xdr:row>
      <xdr:rowOff>28575</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6D3A2425-0E20-FB79-2132-50F9362D7E5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001374" y="895350"/>
              <a:ext cx="1571625" cy="847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152400</xdr:colOff>
      <xdr:row>0</xdr:row>
      <xdr:rowOff>0</xdr:rowOff>
    </xdr:from>
    <xdr:to>
      <xdr:col>19</xdr:col>
      <xdr:colOff>495300</xdr:colOff>
      <xdr:row>4</xdr:row>
      <xdr:rowOff>161925</xdr:rowOff>
    </xdr:to>
    <mc:AlternateContent xmlns:mc="http://schemas.openxmlformats.org/markup-compatibility/2006" xmlns:a14="http://schemas.microsoft.com/office/drawing/2010/main">
      <mc:Choice Requires="a14">
        <xdr:graphicFrame macro="">
          <xdr:nvGraphicFramePr>
            <xdr:cNvPr id="7" name="Product_Category">
              <a:extLst>
                <a:ext uri="{FF2B5EF4-FFF2-40B4-BE49-F238E27FC236}">
                  <a16:creationId xmlns:a16="http://schemas.microsoft.com/office/drawing/2014/main" id="{CAFF9CA5-CCA8-1E5F-C879-80243315D998}"/>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11001375" y="0"/>
              <a:ext cx="1562100" cy="923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152400</xdr:colOff>
      <xdr:row>9</xdr:row>
      <xdr:rowOff>28575</xdr:rowOff>
    </xdr:from>
    <xdr:to>
      <xdr:col>19</xdr:col>
      <xdr:colOff>514350</xdr:colOff>
      <xdr:row>14</xdr:row>
      <xdr:rowOff>161925</xdr:rowOff>
    </xdr:to>
    <mc:AlternateContent xmlns:mc="http://schemas.openxmlformats.org/markup-compatibility/2006" xmlns:a14="http://schemas.microsoft.com/office/drawing/2010/main">
      <mc:Choice Requires="a14">
        <xdr:graphicFrame macro="">
          <xdr:nvGraphicFramePr>
            <xdr:cNvPr id="8" name="Months (Order_Date)">
              <a:extLst>
                <a:ext uri="{FF2B5EF4-FFF2-40B4-BE49-F238E27FC236}">
                  <a16:creationId xmlns:a16="http://schemas.microsoft.com/office/drawing/2014/main" id="{22A0FD21-68BA-5F8B-337D-B5054A4EB36E}"/>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mlns="">
        <xdr:sp macro="" textlink="">
          <xdr:nvSpPr>
            <xdr:cNvPr id="0" name=""/>
            <xdr:cNvSpPr>
              <a:spLocks noTextEdit="1"/>
            </xdr:cNvSpPr>
          </xdr:nvSpPr>
          <xdr:spPr>
            <a:xfrm>
              <a:off x="11001375" y="1743075"/>
              <a:ext cx="1581150" cy="1085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247650</xdr:colOff>
      <xdr:row>14</xdr:row>
      <xdr:rowOff>171449</xdr:rowOff>
    </xdr:from>
    <xdr:to>
      <xdr:col>19</xdr:col>
      <xdr:colOff>504825</xdr:colOff>
      <xdr:row>22</xdr:row>
      <xdr:rowOff>76200</xdr:rowOff>
    </xdr:to>
    <mc:AlternateContent xmlns:mc="http://schemas.openxmlformats.org/markup-compatibility/2006" xmlns:tsle="http://schemas.microsoft.com/office/drawing/2012/timeslicer">
      <mc:Choice Requires="tsle">
        <xdr:graphicFrame macro="">
          <xdr:nvGraphicFramePr>
            <xdr:cNvPr id="9" name="Order_Date">
              <a:extLst>
                <a:ext uri="{FF2B5EF4-FFF2-40B4-BE49-F238E27FC236}">
                  <a16:creationId xmlns:a16="http://schemas.microsoft.com/office/drawing/2014/main" id="{34DD0E61-C434-0118-9866-09AB46299F2B}"/>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8658225" y="2838449"/>
              <a:ext cx="3914775" cy="142875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5</xdr:col>
      <xdr:colOff>352425</xdr:colOff>
      <xdr:row>15</xdr:row>
      <xdr:rowOff>9525</xdr:rowOff>
    </xdr:from>
    <xdr:to>
      <xdr:col>8</xdr:col>
      <xdr:colOff>514350</xdr:colOff>
      <xdr:row>22</xdr:row>
      <xdr:rowOff>95250</xdr:rowOff>
    </xdr:to>
    <xdr:graphicFrame macro="">
      <xdr:nvGraphicFramePr>
        <xdr:cNvPr id="4" name="Chart 3">
          <a:extLst>
            <a:ext uri="{FF2B5EF4-FFF2-40B4-BE49-F238E27FC236}">
              <a16:creationId xmlns:a16="http://schemas.microsoft.com/office/drawing/2014/main" id="{C57FE077-4B6A-4713-95C9-49B44E0E92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714376</xdr:colOff>
      <xdr:row>14</xdr:row>
      <xdr:rowOff>161925</xdr:rowOff>
    </xdr:from>
    <xdr:to>
      <xdr:col>5</xdr:col>
      <xdr:colOff>1</xdr:colOff>
      <xdr:row>17</xdr:row>
      <xdr:rowOff>104775</xdr:rowOff>
    </xdr:to>
    <xdr:sp macro="" textlink="">
      <xdr:nvSpPr>
        <xdr:cNvPr id="10" name="TextBox 9">
          <a:extLst>
            <a:ext uri="{FF2B5EF4-FFF2-40B4-BE49-F238E27FC236}">
              <a16:creationId xmlns:a16="http://schemas.microsoft.com/office/drawing/2014/main" id="{FCB87ABF-4B8C-F3DF-BCD2-7ABBE8A32C99}"/>
            </a:ext>
          </a:extLst>
        </xdr:cNvPr>
        <xdr:cNvSpPr txBox="1"/>
      </xdr:nvSpPr>
      <xdr:spPr>
        <a:xfrm>
          <a:off x="1590676" y="2828925"/>
          <a:ext cx="1924050" cy="514350"/>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solidFill>
                <a:schemeClr val="tx1"/>
              </a:solidFill>
              <a:latin typeface="Bodoni MT Black" panose="02070A03080606020203" pitchFamily="18" charset="0"/>
            </a:rPr>
            <a:t>Total Sales</a:t>
          </a:r>
        </a:p>
      </xdr:txBody>
    </xdr:sp>
    <xdr:clientData/>
  </xdr:twoCellAnchor>
  <xdr:twoCellAnchor>
    <xdr:from>
      <xdr:col>9</xdr:col>
      <xdr:colOff>600075</xdr:colOff>
      <xdr:row>12</xdr:row>
      <xdr:rowOff>85725</xdr:rowOff>
    </xdr:from>
    <xdr:to>
      <xdr:col>10</xdr:col>
      <xdr:colOff>142875</xdr:colOff>
      <xdr:row>13</xdr:row>
      <xdr:rowOff>123825</xdr:rowOff>
    </xdr:to>
    <xdr:sp macro="" textlink="">
      <xdr:nvSpPr>
        <xdr:cNvPr id="12" name="TextBox 11">
          <a:extLst>
            <a:ext uri="{FF2B5EF4-FFF2-40B4-BE49-F238E27FC236}">
              <a16:creationId xmlns:a16="http://schemas.microsoft.com/office/drawing/2014/main" id="{94EB6625-025C-4FE9-9EEB-CA98EA68E2FF}"/>
            </a:ext>
          </a:extLst>
        </xdr:cNvPr>
        <xdr:cNvSpPr txBox="1"/>
      </xdr:nvSpPr>
      <xdr:spPr>
        <a:xfrm>
          <a:off x="6572250" y="2371725"/>
          <a:ext cx="152400" cy="22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9</xdr:col>
      <xdr:colOff>428625</xdr:colOff>
      <xdr:row>15</xdr:row>
      <xdr:rowOff>0</xdr:rowOff>
    </xdr:from>
    <xdr:to>
      <xdr:col>12</xdr:col>
      <xdr:colOff>485775</xdr:colOff>
      <xdr:row>18</xdr:row>
      <xdr:rowOff>0</xdr:rowOff>
    </xdr:to>
    <xdr:sp macro="" textlink="">
      <xdr:nvSpPr>
        <xdr:cNvPr id="14" name="TextBox 13">
          <a:extLst>
            <a:ext uri="{FF2B5EF4-FFF2-40B4-BE49-F238E27FC236}">
              <a16:creationId xmlns:a16="http://schemas.microsoft.com/office/drawing/2014/main" id="{F3141229-F551-BA1F-192B-2B9EF2E11902}"/>
            </a:ext>
          </a:extLst>
        </xdr:cNvPr>
        <xdr:cNvSpPr txBox="1"/>
      </xdr:nvSpPr>
      <xdr:spPr>
        <a:xfrm>
          <a:off x="6381750" y="2857500"/>
          <a:ext cx="1885950" cy="571500"/>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tx1"/>
              </a:solidFill>
              <a:latin typeface="Bodoni MT Black" panose="02070A03080606020203" pitchFamily="18" charset="0"/>
            </a:rPr>
            <a:t>Total Profit</a:t>
          </a:r>
        </a:p>
      </xdr:txBody>
    </xdr:sp>
    <xdr:clientData/>
  </xdr:twoCellAnchor>
  <xdr:oneCellAnchor>
    <xdr:from>
      <xdr:col>1</xdr:col>
      <xdr:colOff>466726</xdr:colOff>
      <xdr:row>17</xdr:row>
      <xdr:rowOff>95249</xdr:rowOff>
    </xdr:from>
    <xdr:ext cx="2428874" cy="828675"/>
    <xdr:sp macro="" textlink="KPIs!F10">
      <xdr:nvSpPr>
        <xdr:cNvPr id="15" name="Rectangle: Rounded Corners 14">
          <a:extLst>
            <a:ext uri="{FF2B5EF4-FFF2-40B4-BE49-F238E27FC236}">
              <a16:creationId xmlns:a16="http://schemas.microsoft.com/office/drawing/2014/main" id="{9543EC93-43AC-1AED-DA7B-F61DA0B9A443}"/>
            </a:ext>
          </a:extLst>
        </xdr:cNvPr>
        <xdr:cNvSpPr/>
      </xdr:nvSpPr>
      <xdr:spPr>
        <a:xfrm>
          <a:off x="1343026" y="3333749"/>
          <a:ext cx="2428874" cy="828675"/>
        </a:xfrm>
        <a:prstGeom prst="roundRect">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square" lIns="432000" tIns="72000" rIns="504000" rtlCol="0" anchor="ctr">
          <a:noAutofit/>
        </a:bodyPr>
        <a:lstStyle/>
        <a:p>
          <a:pPr algn="ctr"/>
          <a:fld id="{C6A0CCF5-BF2F-4CDA-B3C1-B3303C6E2A4C}" type="TxLink">
            <a:rPr lang="en-US" sz="2400" b="1" i="0" u="none" strike="noStrike">
              <a:ln w="9525" cmpd="sng">
                <a:gradFill flip="none" rotWithShape="1">
                  <a:gsLst>
                    <a:gs pos="8000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solidFill>
                <a:srgbClr val="FF0000"/>
              </a:solidFill>
              <a:latin typeface="Bodoni MT Black" panose="02070A03080606020203" pitchFamily="18" charset="0"/>
              <a:cs typeface="Calibri"/>
            </a:rPr>
            <a:pPr algn="ctr"/>
            <a:t>4992683</a:t>
          </a:fld>
          <a:endParaRPr lang="en-IN" sz="2400" b="1" i="0">
            <a:ln w="9525" cmpd="sng">
              <a:gradFill flip="none" rotWithShape="1">
                <a:gsLst>
                  <a:gs pos="8000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solidFill>
              <a:srgbClr val="FF0000"/>
            </a:solidFill>
            <a:latin typeface="Bodoni MT Black" panose="02070A03080606020203" pitchFamily="18" charset="0"/>
          </a:endParaRPr>
        </a:p>
      </xdr:txBody>
    </xdr:sp>
    <xdr:clientData/>
  </xdr:oneCellAnchor>
  <xdr:twoCellAnchor>
    <xdr:from>
      <xdr:col>9</xdr:col>
      <xdr:colOff>9525</xdr:colOff>
      <xdr:row>17</xdr:row>
      <xdr:rowOff>66675</xdr:rowOff>
    </xdr:from>
    <xdr:to>
      <xdr:col>13</xdr:col>
      <xdr:colOff>304800</xdr:colOff>
      <xdr:row>22</xdr:row>
      <xdr:rowOff>114300</xdr:rowOff>
    </xdr:to>
    <xdr:sp macro="" textlink="Sheet8!E8">
      <xdr:nvSpPr>
        <xdr:cNvPr id="16" name="Oval 15">
          <a:extLst>
            <a:ext uri="{FF2B5EF4-FFF2-40B4-BE49-F238E27FC236}">
              <a16:creationId xmlns:a16="http://schemas.microsoft.com/office/drawing/2014/main" id="{6488D23E-8FD1-538D-1D5C-6B60BD7C9F6A}"/>
            </a:ext>
          </a:extLst>
        </xdr:cNvPr>
        <xdr:cNvSpPr/>
      </xdr:nvSpPr>
      <xdr:spPr>
        <a:xfrm>
          <a:off x="5962650" y="3305175"/>
          <a:ext cx="2733675" cy="1000125"/>
        </a:xfrm>
        <a:prstGeom prst="ellipse">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410710D-B0BF-4D47-9A15-DBD588541D45}" type="TxLink">
            <a:rPr lang="en-US" sz="2800" b="1" i="0" u="none" strike="noStrike">
              <a:solidFill>
                <a:srgbClr val="FF0000"/>
              </a:solidFill>
              <a:latin typeface="Bernard MT Condensed" panose="02050806060905020404" pitchFamily="18" charset="0"/>
              <a:cs typeface="Calibri"/>
            </a:rPr>
            <a:pPr algn="ctr"/>
            <a:t>1225430.23</a:t>
          </a:fld>
          <a:endParaRPr lang="en-IN" sz="2800" b="1">
            <a:solidFill>
              <a:srgbClr val="FF0000"/>
            </a:solidFill>
            <a:latin typeface="Bernard MT Condensed" panose="020508060609050204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 refreshedDate="45953.670607175925" createdVersion="8" refreshedVersion="8" minRefreshableVersion="3" recordCount="400" xr:uid="{7DEC334A-9AAC-45F1-8CA9-92B31B9FA45D}">
  <cacheSource type="worksheet">
    <worksheetSource name="Table1"/>
  </cacheSource>
  <cacheFields count="11">
    <cacheField name="Order_ID" numFmtId="0">
      <sharedItems/>
    </cacheField>
    <cacheField name="Order_Date" numFmtId="14">
      <sharedItems containsSemiMixedTypes="0" containsNonDate="0" containsDate="1" containsString="0" minDate="2024-01-01T00:00:00" maxDate="2024-12-31T00:00:00"/>
    </cacheField>
    <cacheField name="Customer_ID" numFmtId="0">
      <sharedItems/>
    </cacheField>
    <cacheField name="Region" numFmtId="0">
      <sharedItems count="4">
        <s v="East"/>
        <s v="West"/>
        <s v="North"/>
        <s v="South"/>
      </sharedItems>
    </cacheField>
    <cacheField name="Product_Category" numFmtId="0">
      <sharedItems/>
    </cacheField>
    <cacheField name="Product_Name" numFmtId="0">
      <sharedItems count="20">
        <s v="Perfume"/>
        <s v="T-Shirt"/>
        <s v="Tablet"/>
        <s v="Face Cream"/>
        <s v="Sofa"/>
        <s v="Shampoo"/>
        <s v="Bed"/>
        <s v="Shoes"/>
        <s v="Chair"/>
        <s v="Headphones"/>
        <s v="Laptop"/>
        <s v="Table"/>
        <s v="Bookshelf"/>
        <s v="Smartwatch"/>
        <s v="Lotion"/>
        <s v="Dress"/>
        <s v="Jacket"/>
        <s v="Jeans"/>
        <s v="Smartphone"/>
        <s v="Lipstick"/>
      </sharedItems>
    </cacheField>
    <cacheField name="Quantity" numFmtId="0">
      <sharedItems containsSemiMixedTypes="0" containsString="0" containsNumber="1" containsInteger="1" minValue="1" maxValue="9"/>
    </cacheField>
    <cacheField name="Unit_Price" numFmtId="0">
      <sharedItems containsSemiMixedTypes="0" containsString="0" containsNumber="1" containsInteger="1" minValue="201" maxValue="4999"/>
    </cacheField>
    <cacheField name="Sales" numFmtId="0">
      <sharedItems containsSemiMixedTypes="0" containsString="0" containsNumber="1" containsInteger="1" minValue="221" maxValue="44928" count="398">
        <n v="4311"/>
        <n v="6228"/>
        <n v="10648"/>
        <n v="22326"/>
        <n v="3570"/>
        <n v="2814"/>
        <n v="3441"/>
        <n v="3725"/>
        <n v="5322"/>
        <n v="22730"/>
        <n v="16032"/>
        <n v="30708"/>
        <n v="8020"/>
        <n v="3039"/>
        <n v="12972"/>
        <n v="2232"/>
        <n v="38176"/>
        <n v="27678"/>
        <n v="3552"/>
        <n v="44928"/>
        <n v="2355"/>
        <n v="11133"/>
        <n v="9855"/>
        <n v="7310"/>
        <n v="13120"/>
        <n v="13683"/>
        <n v="4480"/>
        <n v="32670"/>
        <n v="41715"/>
        <n v="9368"/>
        <n v="22592"/>
        <n v="31680"/>
        <n v="15750"/>
        <n v="29600"/>
        <n v="4095"/>
        <n v="3450"/>
        <n v="2233"/>
        <n v="2415"/>
        <n v="4588"/>
        <n v="5679"/>
        <n v="904"/>
        <n v="2832"/>
        <n v="32858"/>
        <n v="2326"/>
        <n v="12170"/>
        <n v="17928"/>
        <n v="16224"/>
        <n v="6924"/>
        <n v="29876"/>
        <n v="3414"/>
        <n v="6036"/>
        <n v="9978"/>
        <n v="10845"/>
        <n v="1470"/>
        <n v="6204"/>
        <n v="8672"/>
        <n v="15056"/>
        <n v="1589"/>
        <n v="14404"/>
        <n v="31647"/>
        <n v="4096"/>
        <n v="14790"/>
        <n v="10224"/>
        <n v="3000"/>
        <n v="13765"/>
        <n v="28315"/>
        <n v="1996"/>
        <n v="1012"/>
        <n v="5556"/>
        <n v="5872"/>
        <n v="16850"/>
        <n v="2113"/>
        <n v="10776"/>
        <n v="12684"/>
        <n v="10664"/>
        <n v="23496"/>
        <n v="4196"/>
        <n v="18472"/>
        <n v="1616"/>
        <n v="22275"/>
        <n v="17076"/>
        <n v="2184"/>
        <n v="6690"/>
        <n v="10080"/>
        <n v="10304"/>
        <n v="19500"/>
        <n v="10665"/>
        <n v="6320"/>
        <n v="31048"/>
        <n v="8940"/>
        <n v="11040"/>
        <n v="23056"/>
        <n v="8309"/>
        <n v="11344"/>
        <n v="3110"/>
        <n v="40185"/>
        <n v="4816"/>
        <n v="34680"/>
        <n v="7040"/>
        <n v="6472"/>
        <n v="5770"/>
        <n v="9464"/>
        <n v="5870"/>
        <n v="34664"/>
        <n v="4172"/>
        <n v="10017"/>
        <n v="28494"/>
        <n v="708"/>
        <n v="28696"/>
        <n v="17199"/>
        <n v="19320"/>
        <n v="6965"/>
        <n v="4236"/>
        <n v="24440"/>
        <n v="16555"/>
        <n v="6096"/>
        <n v="3102"/>
        <n v="18172"/>
        <n v="21258"/>
        <n v="2945"/>
        <n v="10746"/>
        <n v="23177"/>
        <n v="12390"/>
        <n v="17568"/>
        <n v="7560"/>
        <n v="13365"/>
        <n v="22555"/>
        <n v="23247"/>
        <n v="13756"/>
        <n v="21051"/>
        <n v="9520"/>
        <n v="5058"/>
        <n v="8412"/>
        <n v="7664"/>
        <n v="41859"/>
        <n v="26916"/>
        <n v="7876"/>
        <n v="18683"/>
        <n v="9990"/>
        <n v="1512"/>
        <n v="1025"/>
        <n v="9024"/>
        <n v="28326"/>
        <n v="23352"/>
        <n v="33372"/>
        <n v="27587"/>
        <n v="7096"/>
        <n v="25188"/>
        <n v="11645"/>
        <n v="20824"/>
        <n v="3529"/>
        <n v="788"/>
        <n v="13272"/>
        <n v="3494"/>
        <n v="2470"/>
        <n v="2185"/>
        <n v="23219"/>
        <n v="1890"/>
        <n v="5344"/>
        <n v="20376"/>
        <n v="4655"/>
        <n v="19980"/>
        <n v="28458"/>
        <n v="29820"/>
        <n v="9656"/>
        <n v="2714"/>
        <n v="26082"/>
        <n v="4881"/>
        <n v="10129"/>
        <n v="12306"/>
        <n v="13080"/>
        <n v="2313"/>
        <n v="2582"/>
        <n v="11560"/>
        <n v="6852"/>
        <n v="954"/>
        <n v="2087"/>
        <n v="14337"/>
        <n v="2930"/>
        <n v="2480"/>
        <n v="6702"/>
        <n v="1085"/>
        <n v="5904"/>
        <n v="1326"/>
        <n v="14307"/>
        <n v="13564"/>
        <n v="2553"/>
        <n v="39992"/>
        <n v="6202"/>
        <n v="3388"/>
        <n v="11841"/>
        <n v="2886"/>
        <n v="5256"/>
        <n v="2707"/>
        <n v="1596"/>
        <n v="7742"/>
        <n v="6608"/>
        <n v="29393"/>
        <n v="25552"/>
        <n v="2706"/>
        <n v="43785"/>
        <n v="26663"/>
        <n v="11259"/>
        <n v="13224"/>
        <n v="24892"/>
        <n v="5720"/>
        <n v="1428"/>
        <n v="31878"/>
        <n v="5430"/>
        <n v="9132"/>
        <n v="7212"/>
        <n v="1298"/>
        <n v="16184"/>
        <n v="6802"/>
        <n v="10065"/>
        <n v="26344"/>
        <n v="29840"/>
        <n v="15912"/>
        <n v="12384"/>
        <n v="18265"/>
        <n v="22266"/>
        <n v="5940"/>
        <n v="30212"/>
        <n v="8452"/>
        <n v="30653"/>
        <n v="13174"/>
        <n v="4865"/>
        <n v="29141"/>
        <n v="5665"/>
        <n v="11394"/>
        <n v="10299"/>
        <n v="8720"/>
        <n v="4110"/>
        <n v="6512"/>
        <n v="992"/>
        <n v="4955"/>
        <n v="8036"/>
        <n v="4910"/>
        <n v="11430"/>
        <n v="12649"/>
        <n v="8288"/>
        <n v="15504"/>
        <n v="17900"/>
        <n v="3595"/>
        <n v="4740"/>
        <n v="11250"/>
        <n v="7666"/>
        <n v="23220"/>
        <n v="3477"/>
        <n v="3568"/>
        <n v="24594"/>
        <n v="37384"/>
        <n v="3146"/>
        <n v="5808"/>
        <n v="23968"/>
        <n v="2453"/>
        <n v="7088"/>
        <n v="12495"/>
        <n v="2075"/>
        <n v="17667"/>
        <n v="5760"/>
        <n v="2432"/>
        <n v="2844"/>
        <n v="18431"/>
        <n v="7047"/>
        <n v="3564"/>
        <n v="23928"/>
        <n v="11872"/>
        <n v="8734"/>
        <n v="28420"/>
        <n v="2365"/>
        <n v="13278"/>
        <n v="9266"/>
        <n v="7945"/>
        <n v="15064"/>
        <n v="44118"/>
        <n v="2190"/>
        <n v="3534"/>
        <n v="928"/>
        <n v="11215"/>
        <n v="39573"/>
        <n v="22176"/>
        <n v="6846"/>
        <n v="2065"/>
        <n v="23772"/>
        <n v="8880"/>
        <n v="23832"/>
        <n v="18816"/>
        <n v="26536"/>
        <n v="1582"/>
        <n v="26280"/>
        <n v="4565"/>
        <n v="4537"/>
        <n v="1005"/>
        <n v="25464"/>
        <n v="2149"/>
        <n v="3351"/>
        <n v="16870"/>
        <n v="9764"/>
        <n v="867"/>
        <n v="9545"/>
        <n v="18952"/>
        <n v="17752"/>
        <n v="3241"/>
        <n v="2135"/>
        <n v="8688"/>
        <n v="1881"/>
        <n v="12570"/>
        <n v="1032"/>
        <n v="5838"/>
        <n v="17000"/>
        <n v="13536"/>
        <n v="20064"/>
        <n v="12350"/>
        <n v="13112"/>
        <n v="752"/>
        <n v="3660"/>
        <n v="16444"/>
        <n v="5739"/>
        <n v="10767"/>
        <n v="5228"/>
        <n v="4406"/>
        <n v="900"/>
        <n v="23670"/>
        <n v="4508"/>
        <n v="3290"/>
        <n v="3663"/>
        <n v="9891"/>
        <n v="29288"/>
        <n v="3585"/>
        <n v="221"/>
        <n v="5481"/>
        <n v="8752"/>
        <n v="6426"/>
        <n v="30163"/>
        <n v="7002"/>
        <n v="11385"/>
        <n v="6312"/>
        <n v="8800"/>
        <n v="4398"/>
        <n v="14214"/>
        <n v="7676"/>
        <n v="2847"/>
        <n v="18135"/>
        <n v="4980"/>
        <n v="2127"/>
        <n v="36036"/>
        <n v="27314"/>
        <n v="2556"/>
        <n v="39920"/>
        <n v="7605"/>
        <n v="4048"/>
        <n v="19325"/>
        <n v="2189"/>
        <n v="6027"/>
        <n v="24220"/>
        <n v="3066"/>
        <n v="18720"/>
        <n v="10256"/>
        <n v="28539"/>
        <n v="1908"/>
        <n v="38970"/>
        <n v="42660"/>
        <n v="3864"/>
        <n v="1102"/>
        <n v="28616"/>
        <n v="1790"/>
        <n v="13062"/>
        <n v="8092"/>
        <n v="11355"/>
        <n v="4221"/>
        <n v="43299"/>
        <n v="8937"/>
        <n v="12696"/>
        <n v="7306"/>
        <n v="8085"/>
        <n v="3824"/>
        <n v="19612"/>
        <n v="10311"/>
        <n v="12033"/>
        <n v="5650"/>
        <n v="18074"/>
        <n v="1641"/>
        <n v="25432"/>
        <n v="5991"/>
        <n v="9180"/>
        <n v="12627"/>
        <n v="7970"/>
        <n v="35848"/>
        <n v="10283"/>
        <n v="34524"/>
        <n v="27398"/>
        <n v="5832"/>
        <n v="3823"/>
        <n v="12632"/>
        <n v="18684"/>
        <n v="34119"/>
        <n v="4694"/>
      </sharedItems>
    </cacheField>
    <cacheField name="Profit" numFmtId="0">
      <sharedItems containsSemiMixedTypes="0" containsString="0" containsNumber="1" containsInteger="1" minValue="221" maxValue="44928"/>
    </cacheField>
    <cacheField name="Sales_check"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 refreshedDate="45954.610440393517" createdVersion="8" refreshedVersion="8" minRefreshableVersion="3" recordCount="400" xr:uid="{D555E76C-7DE0-40DF-B807-E7FF602F4134}">
  <cacheSource type="worksheet">
    <worksheetSource name="Table1_1"/>
  </cacheSource>
  <cacheFields count="13">
    <cacheField name="Order_ID" numFmtId="0">
      <sharedItems/>
    </cacheField>
    <cacheField name="Order_Date" numFmtId="22">
      <sharedItems containsSemiMixedTypes="0" containsNonDate="0" containsDate="1" containsString="0" minDate="2024-01-01T00:00:00" maxDate="2024-12-31T00:00:00" count="233">
        <d v="2024-06-23T00:00:00"/>
        <d v="2024-04-13T00:00:00"/>
        <d v="2024-10-23T00:00:00"/>
        <d v="2024-05-09T00:00:00"/>
        <d v="2024-12-06T00:00:00"/>
        <d v="2024-04-24T00:00:00"/>
        <d v="2024-03-26T00:00:00"/>
        <d v="2024-07-11T00:00:00"/>
        <d v="2024-01-07T00:00:00"/>
        <d v="2024-09-05T00:00:00"/>
        <d v="2024-12-20T00:00:00"/>
        <d v="2024-08-18T00:00:00"/>
        <d v="2024-05-28T00:00:00"/>
        <d v="2024-12-10T00:00:00"/>
        <d v="2024-10-06T00:00:00"/>
        <d v="2024-07-25T00:00:00"/>
        <d v="2024-02-25T00:00:00"/>
        <d v="2024-12-03T00:00:00"/>
        <d v="2024-04-30T00:00:00"/>
        <d v="2024-04-17T00:00:00"/>
        <d v="2024-01-26T00:00:00"/>
        <d v="2024-07-12T00:00:00"/>
        <d v="2024-07-19T00:00:00"/>
        <d v="2024-09-16T00:00:00"/>
        <d v="2024-03-27T00:00:00"/>
        <d v="2024-02-12T00:00:00"/>
        <d v="2024-05-31T00:00:00"/>
        <d v="2024-11-15T00:00:00"/>
        <d v="2024-05-01T00:00:00"/>
        <d v="2024-08-26T00:00:00"/>
        <d v="2024-10-07T00:00:00"/>
        <d v="2024-05-04T00:00:00"/>
        <d v="2024-08-19T00:00:00"/>
        <d v="2024-04-03T00:00:00"/>
        <d v="2024-01-11T00:00:00"/>
        <d v="2024-05-29T00:00:00"/>
        <d v="2024-08-12T00:00:00"/>
        <d v="2024-11-02T00:00:00"/>
        <d v="2024-12-27T00:00:00"/>
        <d v="2024-03-07T00:00:00"/>
        <d v="2024-06-17T00:00:00"/>
        <d v="2024-08-28T00:00:00"/>
        <d v="2024-02-19T00:00:00"/>
        <d v="2024-03-06T00:00:00"/>
        <d v="2024-12-07T00:00:00"/>
        <d v="2024-10-14T00:00:00"/>
        <d v="2024-08-30T00:00:00"/>
        <d v="2024-04-06T00:00:00"/>
        <d v="2024-11-01T00:00:00"/>
        <d v="2024-04-20T00:00:00"/>
        <d v="2024-08-25T00:00:00"/>
        <d v="2024-02-13T00:00:00"/>
        <d v="2024-02-03T00:00:00"/>
        <d v="2024-10-08T00:00:00"/>
        <d v="2024-06-06T00:00:00"/>
        <d v="2024-07-23T00:00:00"/>
        <d v="2024-05-27T00:00:00"/>
        <d v="2024-09-27T00:00:00"/>
        <d v="2024-10-31T00:00:00"/>
        <d v="2024-11-30T00:00:00"/>
        <d v="2024-06-02T00:00:00"/>
        <d v="2024-03-02T00:00:00"/>
        <d v="2024-09-10T00:00:00"/>
        <d v="2024-01-14T00:00:00"/>
        <d v="2024-02-18T00:00:00"/>
        <d v="2024-12-01T00:00:00"/>
        <d v="2024-04-14T00:00:00"/>
        <d v="2024-12-21T00:00:00"/>
        <d v="2024-06-07T00:00:00"/>
        <d v="2024-10-15T00:00:00"/>
        <d v="2024-05-02T00:00:00"/>
        <d v="2024-11-21T00:00:00"/>
        <d v="2024-01-06T00:00:00"/>
        <d v="2024-05-23T00:00:00"/>
        <d v="2024-03-08T00:00:00"/>
        <d v="2024-01-31T00:00:00"/>
        <d v="2024-06-14T00:00:00"/>
        <d v="2024-10-03T00:00:00"/>
        <d v="2024-07-07T00:00:00"/>
        <d v="2024-03-01T00:00:00"/>
        <d v="2024-08-20T00:00:00"/>
        <d v="2024-08-13T00:00:00"/>
        <d v="2024-02-26T00:00:00"/>
        <d v="2024-09-23T00:00:00"/>
        <d v="2024-05-20T00:00:00"/>
        <d v="2024-07-17T00:00:00"/>
        <d v="2024-08-27T00:00:00"/>
        <d v="2024-06-24T00:00:00"/>
        <d v="2024-09-12T00:00:00"/>
        <d v="2024-04-26T00:00:00"/>
        <d v="2024-06-16T00:00:00"/>
        <d v="2024-03-29T00:00:00"/>
        <d v="2024-05-26T00:00:00"/>
        <d v="2024-02-06T00:00:00"/>
        <d v="2024-01-13T00:00:00"/>
        <d v="2024-09-01T00:00:00"/>
        <d v="2024-05-15T00:00:00"/>
        <d v="2024-08-03T00:00:00"/>
        <d v="2024-06-27T00:00:00"/>
        <d v="2024-06-18T00:00:00"/>
        <d v="2024-08-07T00:00:00"/>
        <d v="2024-12-28T00:00:00"/>
        <d v="2024-09-29T00:00:00"/>
        <d v="2024-01-28T00:00:00"/>
        <d v="2024-01-04T00:00:00"/>
        <d v="2024-11-25T00:00:00"/>
        <d v="2024-02-23T00:00:00"/>
        <d v="2024-10-18T00:00:00"/>
        <d v="2024-12-18T00:00:00"/>
        <d v="2024-06-05T00:00:00"/>
        <d v="2024-03-22T00:00:00"/>
        <d v="2024-07-29T00:00:00"/>
        <d v="2024-11-17T00:00:00"/>
        <d v="2024-01-20T00:00:00"/>
        <d v="2024-11-08T00:00:00"/>
        <d v="2024-04-07T00:00:00"/>
        <d v="2024-02-17T00:00:00"/>
        <d v="2024-05-16T00:00:00"/>
        <d v="2024-01-05T00:00:00"/>
        <d v="2024-08-16T00:00:00"/>
        <d v="2024-08-22T00:00:00"/>
        <d v="2024-03-25T00:00:00"/>
        <d v="2024-04-22T00:00:00"/>
        <d v="2024-11-09T00:00:00"/>
        <d v="2024-06-11T00:00:00"/>
        <d v="2024-08-23T00:00:00"/>
        <d v="2024-05-21T00:00:00"/>
        <d v="2024-09-07T00:00:00"/>
        <d v="2024-10-13T00:00:00"/>
        <d v="2024-11-24T00:00:00"/>
        <d v="2024-12-24T00:00:00"/>
        <d v="2024-05-12T00:00:00"/>
        <d v="2024-11-22T00:00:00"/>
        <d v="2024-06-15T00:00:00"/>
        <d v="2024-02-10T00:00:00"/>
        <d v="2024-01-09T00:00:00"/>
        <d v="2024-01-17T00:00:00"/>
        <d v="2024-05-10T00:00:00"/>
        <d v="2024-09-13T00:00:00"/>
        <d v="2024-01-16T00:00:00"/>
        <d v="2024-08-05T00:00:00"/>
        <d v="2024-12-05T00:00:00"/>
        <d v="2024-03-19T00:00:00"/>
        <d v="2024-05-05T00:00:00"/>
        <d v="2024-01-15T00:00:00"/>
        <d v="2024-02-08T00:00:00"/>
        <d v="2024-08-29T00:00:00"/>
        <d v="2024-06-04T00:00:00"/>
        <d v="2024-06-22T00:00:00"/>
        <d v="2024-06-12T00:00:00"/>
        <d v="2024-03-03T00:00:00"/>
        <d v="2024-03-20T00:00:00"/>
        <d v="2024-05-06T00:00:00"/>
        <d v="2024-06-13T00:00:00"/>
        <d v="2024-05-30T00:00:00"/>
        <d v="2024-10-01T00:00:00"/>
        <d v="2024-11-06T00:00:00"/>
        <d v="2024-01-01T00:00:00"/>
        <d v="2024-10-09T00:00:00"/>
        <d v="2024-09-19T00:00:00"/>
        <d v="2024-08-17T00:00:00"/>
        <d v="2024-04-10T00:00:00"/>
        <d v="2024-04-04T00:00:00"/>
        <d v="2024-11-23T00:00:00"/>
        <d v="2024-10-17T00:00:00"/>
        <d v="2024-05-17T00:00:00"/>
        <d v="2024-08-02T00:00:00"/>
        <d v="2024-04-09T00:00:00"/>
        <d v="2024-05-14T00:00:00"/>
        <d v="2024-03-04T00:00:00"/>
        <d v="2024-02-20T00:00:00"/>
        <d v="2024-01-27T00:00:00"/>
        <d v="2024-03-17T00:00:00"/>
        <d v="2024-03-30T00:00:00"/>
        <d v="2024-02-01T00:00:00"/>
        <d v="2024-01-08T00:00:00"/>
        <d v="2024-02-05T00:00:00"/>
        <d v="2024-10-25T00:00:00"/>
        <d v="2024-09-26T00:00:00"/>
        <d v="2024-08-01T00:00:00"/>
        <d v="2024-06-20T00:00:00"/>
        <d v="2024-05-08T00:00:00"/>
        <d v="2024-07-16T00:00:00"/>
        <d v="2024-06-19T00:00:00"/>
        <d v="2024-05-25T00:00:00"/>
        <d v="2024-09-11T00:00:00"/>
        <d v="2024-10-22T00:00:00"/>
        <d v="2024-06-10T00:00:00"/>
        <d v="2024-09-18T00:00:00"/>
        <d v="2024-11-07T00:00:00"/>
        <d v="2024-02-09T00:00:00"/>
        <d v="2024-01-24T00:00:00"/>
        <d v="2024-03-10T00:00:00"/>
        <d v="2024-01-23T00:00:00"/>
        <d v="2024-10-16T00:00:00"/>
        <d v="2024-02-24T00:00:00"/>
        <d v="2024-07-13T00:00:00"/>
        <d v="2024-04-02T00:00:00"/>
        <d v="2024-06-25T00:00:00"/>
        <d v="2024-12-30T00:00:00"/>
        <d v="2024-04-01T00:00:00"/>
        <d v="2024-07-09T00:00:00"/>
        <d v="2024-02-22T00:00:00"/>
        <d v="2024-03-14T00:00:00"/>
        <d v="2024-12-12T00:00:00"/>
        <d v="2024-02-07T00:00:00"/>
        <d v="2024-12-26T00:00:00"/>
        <d v="2024-01-02T00:00:00"/>
        <d v="2024-02-21T00:00:00"/>
        <d v="2024-07-04T00:00:00"/>
        <d v="2024-10-12T00:00:00"/>
        <d v="2024-07-06T00:00:00"/>
        <d v="2024-07-10T00:00:00"/>
        <d v="2024-01-30T00:00:00"/>
        <d v="2024-01-12T00:00:00"/>
        <d v="2024-03-05T00:00:00"/>
        <d v="2024-06-03T00:00:00"/>
        <d v="2024-09-15T00:00:00"/>
        <d v="2024-08-04T00:00:00"/>
        <d v="2024-10-24T00:00:00"/>
        <d v="2024-05-13T00:00:00"/>
        <d v="2024-11-28T00:00:00"/>
        <d v="2024-07-24T00:00:00"/>
        <d v="2024-04-08T00:00:00"/>
        <d v="2024-06-08T00:00:00"/>
        <d v="2024-11-26T00:00:00"/>
        <d v="2024-06-30T00:00:00"/>
        <d v="2024-03-16T00:00:00"/>
        <d v="2024-09-06T00:00:00"/>
        <d v="2024-04-28T00:00:00"/>
        <d v="2024-11-16T00:00:00"/>
        <d v="2024-10-28T00:00:00"/>
        <d v="2024-02-11T00:00:00"/>
      </sharedItems>
      <fieldGroup par="12"/>
    </cacheField>
    <cacheField name="Customer_ID" numFmtId="0">
      <sharedItems/>
    </cacheField>
    <cacheField name="Region" numFmtId="0">
      <sharedItems count="4">
        <s v="East"/>
        <s v="West"/>
        <s v="North"/>
        <s v="South"/>
      </sharedItems>
    </cacheField>
    <cacheField name="Product_Category" numFmtId="0">
      <sharedItems count="4">
        <s v="Beauty"/>
        <s v="Clothing"/>
        <s v="Electronics"/>
        <s v="Furniture"/>
      </sharedItems>
    </cacheField>
    <cacheField name="Product_Name" numFmtId="0">
      <sharedItems/>
    </cacheField>
    <cacheField name="Quantity" numFmtId="0">
      <sharedItems containsSemiMixedTypes="0" containsString="0" containsNumber="1" containsInteger="1" minValue="1" maxValue="9"/>
    </cacheField>
    <cacheField name="Unit_Price" numFmtId="0">
      <sharedItems containsSemiMixedTypes="0" containsString="0" containsNumber="1" containsInteger="1" minValue="201" maxValue="4999"/>
    </cacheField>
    <cacheField name="Sales" numFmtId="0">
      <sharedItems containsSemiMixedTypes="0" containsString="0" containsNumber="1" containsInteger="1" minValue="221" maxValue="44928"/>
    </cacheField>
    <cacheField name="Profit2" numFmtId="0">
      <sharedItems containsSemiMixedTypes="0" containsString="0" containsNumber="1" minValue="80.52" maxValue="17272.830000000002"/>
    </cacheField>
    <cacheField name="profit_margin" numFmtId="0">
      <sharedItems containsSemiMixedTypes="0" containsString="0" containsNumber="1" minValue="250.53056576427352" maxValue="997.24597767792443"/>
    </cacheField>
    <cacheField name="Days (Order_Date)" numFmtId="0" databaseField="0">
      <fieldGroup base="1">
        <rangePr groupBy="days" startDate="2024-01-01T00:00:00" endDate="2024-12-3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024"/>
        </groupItems>
      </fieldGroup>
    </cacheField>
    <cacheField name="Months (Order_Date)" numFmtId="0" databaseField="0">
      <fieldGroup base="1">
        <rangePr groupBy="months" startDate="2024-01-01T00:00:00" endDate="2024-12-31T00:00:00"/>
        <groupItems count="14">
          <s v="&lt;01-01-2024"/>
          <s v="Jan"/>
          <s v="Feb"/>
          <s v="Mar"/>
          <s v="Apr"/>
          <s v="May"/>
          <s v="Jun"/>
          <s v="Jul"/>
          <s v="Aug"/>
          <s v="Sep"/>
          <s v="Oct"/>
          <s v="Nov"/>
          <s v="Dec"/>
          <s v="&gt;31-12-2024"/>
        </groupItems>
      </fieldGroup>
    </cacheField>
  </cacheFields>
  <extLst>
    <ext xmlns:x14="http://schemas.microsoft.com/office/spreadsheetml/2009/9/main" uri="{725AE2AE-9491-48be-B2B4-4EB974FC3084}">
      <x14:pivotCacheDefinition pivotCacheId="21009807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
  <r>
    <s v="ORD1000"/>
    <d v="2024-06-23T00:00:00"/>
    <s v="CUST22"/>
    <x v="0"/>
    <s v="Beauty"/>
    <x v="0"/>
    <n v="1"/>
    <n v="4311"/>
    <x v="0"/>
    <n v="4311"/>
    <s v="Match"/>
  </r>
  <r>
    <s v="ORD1001"/>
    <d v="2024-04-13T00:00:00"/>
    <s v="CUST52"/>
    <x v="1"/>
    <s v="Beauty"/>
    <x v="0"/>
    <n v="9"/>
    <n v="692"/>
    <x v="1"/>
    <n v="6228"/>
    <s v="Match"/>
  </r>
  <r>
    <s v="ORD1002"/>
    <d v="2024-10-23T00:00:00"/>
    <s v="CUST138"/>
    <x v="2"/>
    <s v="Clothing"/>
    <x v="1"/>
    <n v="8"/>
    <n v="1331"/>
    <x v="2"/>
    <n v="10648"/>
    <s v="Match"/>
  </r>
  <r>
    <s v="ORD1003"/>
    <d v="2024-05-09T00:00:00"/>
    <s v="CUST141"/>
    <x v="0"/>
    <s v="Electronics"/>
    <x v="2"/>
    <n v="6"/>
    <n v="3721"/>
    <x v="3"/>
    <n v="22326"/>
    <s v="Match"/>
  </r>
  <r>
    <s v="ORD1004"/>
    <d v="2024-12-06T00:00:00"/>
    <s v="CUST35"/>
    <x v="0"/>
    <s v="Beauty"/>
    <x v="0"/>
    <n v="7"/>
    <n v="510"/>
    <x v="4"/>
    <n v="3570"/>
    <s v="Match"/>
  </r>
  <r>
    <s v="ORD1005"/>
    <d v="2024-04-24T00:00:00"/>
    <s v="CUST106"/>
    <x v="1"/>
    <s v="Beauty"/>
    <x v="3"/>
    <n v="3"/>
    <n v="938"/>
    <x v="5"/>
    <n v="2814"/>
    <s v="Match"/>
  </r>
  <r>
    <s v="ORD1006"/>
    <d v="2024-03-26T00:00:00"/>
    <s v="CUST110"/>
    <x v="2"/>
    <s v="Furniture"/>
    <x v="4"/>
    <n v="1"/>
    <n v="3441"/>
    <x v="6"/>
    <n v="3441"/>
    <s v="Match"/>
  </r>
  <r>
    <s v="ORD1007"/>
    <d v="2024-07-11T00:00:00"/>
    <s v="CUST41"/>
    <x v="2"/>
    <s v="Beauty"/>
    <x v="5"/>
    <n v="5"/>
    <n v="745"/>
    <x v="7"/>
    <n v="3725"/>
    <s v="Match"/>
  </r>
  <r>
    <s v="ORD1008"/>
    <d v="2024-01-07T00:00:00"/>
    <s v="CUST132"/>
    <x v="0"/>
    <s v="Beauty"/>
    <x v="0"/>
    <n v="2"/>
    <n v="2661"/>
    <x v="8"/>
    <n v="5322"/>
    <s v="Match"/>
  </r>
  <r>
    <s v="ORD1009"/>
    <d v="2024-09-05T00:00:00"/>
    <s v="CUST29"/>
    <x v="3"/>
    <s v="Furniture"/>
    <x v="6"/>
    <n v="5"/>
    <n v="4546"/>
    <x v="9"/>
    <n v="22730"/>
    <s v="Match"/>
  </r>
  <r>
    <s v="ORD1010"/>
    <d v="2024-12-20T00:00:00"/>
    <s v="CUST10"/>
    <x v="0"/>
    <s v="Clothing"/>
    <x v="7"/>
    <n v="8"/>
    <n v="2004"/>
    <x v="10"/>
    <n v="16032"/>
    <s v="Match"/>
  </r>
  <r>
    <s v="ORD1011"/>
    <d v="2024-08-18T00:00:00"/>
    <s v="CUST28"/>
    <x v="0"/>
    <s v="Beauty"/>
    <x v="3"/>
    <n v="9"/>
    <n v="3412"/>
    <x v="11"/>
    <n v="30708"/>
    <s v="Match"/>
  </r>
  <r>
    <s v="ORD1012"/>
    <d v="2024-05-28T00:00:00"/>
    <s v="CUST21"/>
    <x v="0"/>
    <s v="Furniture"/>
    <x v="8"/>
    <n v="2"/>
    <n v="4010"/>
    <x v="12"/>
    <n v="8020"/>
    <s v="Match"/>
  </r>
  <r>
    <s v="ORD1013"/>
    <d v="2024-12-10T00:00:00"/>
    <s v="CUST119"/>
    <x v="0"/>
    <s v="Electronics"/>
    <x v="9"/>
    <n v="3"/>
    <n v="1013"/>
    <x v="13"/>
    <n v="3039"/>
    <s v="Match"/>
  </r>
  <r>
    <s v="ORD1014"/>
    <d v="2024-12-10T00:00:00"/>
    <s v="CUST147"/>
    <x v="1"/>
    <s v="Clothing"/>
    <x v="7"/>
    <n v="3"/>
    <n v="4324"/>
    <x v="14"/>
    <n v="12972"/>
    <s v="Match"/>
  </r>
  <r>
    <s v="ORD1015"/>
    <d v="2024-10-06T00:00:00"/>
    <s v="CUST77"/>
    <x v="2"/>
    <s v="Electronics"/>
    <x v="10"/>
    <n v="1"/>
    <n v="2232"/>
    <x v="15"/>
    <n v="2232"/>
    <s v="Match"/>
  </r>
  <r>
    <s v="ORD1016"/>
    <d v="2024-07-25T00:00:00"/>
    <s v="CUST39"/>
    <x v="1"/>
    <s v="Electronics"/>
    <x v="2"/>
    <n v="8"/>
    <n v="4772"/>
    <x v="16"/>
    <n v="38176"/>
    <s v="Match"/>
  </r>
  <r>
    <s v="ORD1017"/>
    <d v="2024-02-25T00:00:00"/>
    <s v="CUST103"/>
    <x v="1"/>
    <s v="Furniture"/>
    <x v="6"/>
    <n v="6"/>
    <n v="4613"/>
    <x v="17"/>
    <n v="27678"/>
    <s v="Match"/>
  </r>
  <r>
    <s v="ORD1018"/>
    <d v="2024-12-03T00:00:00"/>
    <s v="CUST137"/>
    <x v="1"/>
    <s v="Beauty"/>
    <x v="5"/>
    <n v="8"/>
    <n v="444"/>
    <x v="18"/>
    <n v="3552"/>
    <s v="Match"/>
  </r>
  <r>
    <s v="ORD1019"/>
    <d v="2024-04-30T00:00:00"/>
    <s v="CUST126"/>
    <x v="0"/>
    <s v="Furniture"/>
    <x v="11"/>
    <n v="9"/>
    <n v="4992"/>
    <x v="19"/>
    <n v="44928"/>
    <s v="Match"/>
  </r>
  <r>
    <s v="ORD1020"/>
    <d v="2024-04-17T00:00:00"/>
    <s v="CUST30"/>
    <x v="3"/>
    <s v="Furniture"/>
    <x v="12"/>
    <n v="5"/>
    <n v="471"/>
    <x v="20"/>
    <n v="2355"/>
    <s v="Match"/>
  </r>
  <r>
    <s v="ORD1021"/>
    <d v="2024-01-26T00:00:00"/>
    <s v="CUST111"/>
    <x v="2"/>
    <s v="Furniture"/>
    <x v="12"/>
    <n v="3"/>
    <n v="3711"/>
    <x v="21"/>
    <n v="11133"/>
    <s v="Match"/>
  </r>
  <r>
    <s v="ORD1022"/>
    <d v="2024-04-17T00:00:00"/>
    <s v="CUST11"/>
    <x v="3"/>
    <s v="Furniture"/>
    <x v="4"/>
    <n v="5"/>
    <n v="1971"/>
    <x v="22"/>
    <n v="9855"/>
    <s v="Match"/>
  </r>
  <r>
    <s v="ORD1023"/>
    <d v="2024-04-24T00:00:00"/>
    <s v="CUST53"/>
    <x v="1"/>
    <s v="Clothing"/>
    <x v="7"/>
    <n v="5"/>
    <n v="1462"/>
    <x v="23"/>
    <n v="7310"/>
    <s v="Match"/>
  </r>
  <r>
    <s v="ORD1024"/>
    <d v="2024-07-12T00:00:00"/>
    <s v="CUST70"/>
    <x v="1"/>
    <s v="Beauty"/>
    <x v="0"/>
    <n v="5"/>
    <n v="2624"/>
    <x v="24"/>
    <n v="13120"/>
    <s v="Match"/>
  </r>
  <r>
    <s v="ORD1025"/>
    <d v="2024-07-19T00:00:00"/>
    <s v="CUST82"/>
    <x v="3"/>
    <s v="Electronics"/>
    <x v="2"/>
    <n v="3"/>
    <n v="4561"/>
    <x v="25"/>
    <n v="13683"/>
    <s v="Match"/>
  </r>
  <r>
    <s v="ORD1026"/>
    <d v="2024-09-16T00:00:00"/>
    <s v="CUST37"/>
    <x v="3"/>
    <s v="Electronics"/>
    <x v="9"/>
    <n v="4"/>
    <n v="1120"/>
    <x v="26"/>
    <n v="4480"/>
    <s v="Match"/>
  </r>
  <r>
    <s v="ORD1027"/>
    <d v="2024-03-27T00:00:00"/>
    <s v="CUST16"/>
    <x v="3"/>
    <s v="Beauty"/>
    <x v="3"/>
    <n v="9"/>
    <n v="3630"/>
    <x v="27"/>
    <n v="32670"/>
    <s v="Match"/>
  </r>
  <r>
    <s v="ORD1028"/>
    <d v="2024-02-12T00:00:00"/>
    <s v="CUST24"/>
    <x v="1"/>
    <s v="Electronics"/>
    <x v="2"/>
    <n v="9"/>
    <n v="4635"/>
    <x v="28"/>
    <n v="41715"/>
    <s v="Match"/>
  </r>
  <r>
    <s v="ORD1029"/>
    <d v="2024-05-31T00:00:00"/>
    <s v="CUST70"/>
    <x v="1"/>
    <s v="Beauty"/>
    <x v="3"/>
    <n v="2"/>
    <n v="4684"/>
    <x v="29"/>
    <n v="9368"/>
    <s v="Match"/>
  </r>
  <r>
    <s v="ORD1030"/>
    <d v="2024-11-15T00:00:00"/>
    <s v="CUST101"/>
    <x v="2"/>
    <s v="Electronics"/>
    <x v="10"/>
    <n v="8"/>
    <n v="2824"/>
    <x v="30"/>
    <n v="22592"/>
    <s v="Match"/>
  </r>
  <r>
    <s v="ORD1031"/>
    <d v="2024-05-01T00:00:00"/>
    <s v="CUST33"/>
    <x v="2"/>
    <s v="Furniture"/>
    <x v="12"/>
    <n v="8"/>
    <n v="3960"/>
    <x v="31"/>
    <n v="31680"/>
    <s v="Match"/>
  </r>
  <r>
    <s v="ORD1032"/>
    <d v="2024-08-26T00:00:00"/>
    <s v="CUST69"/>
    <x v="1"/>
    <s v="Electronics"/>
    <x v="13"/>
    <n v="7"/>
    <n v="2250"/>
    <x v="32"/>
    <n v="15750"/>
    <s v="Match"/>
  </r>
  <r>
    <s v="ORD1033"/>
    <d v="2024-10-07T00:00:00"/>
    <s v="CUST62"/>
    <x v="3"/>
    <s v="Beauty"/>
    <x v="14"/>
    <n v="8"/>
    <n v="3700"/>
    <x v="33"/>
    <n v="29600"/>
    <s v="Match"/>
  </r>
  <r>
    <s v="ORD1034"/>
    <d v="2024-05-04T00:00:00"/>
    <s v="CUST113"/>
    <x v="3"/>
    <s v="Beauty"/>
    <x v="14"/>
    <n v="3"/>
    <n v="1365"/>
    <x v="34"/>
    <n v="4095"/>
    <s v="Match"/>
  </r>
  <r>
    <s v="ORD1035"/>
    <d v="2024-08-19T00:00:00"/>
    <s v="CUST112"/>
    <x v="2"/>
    <s v="Beauty"/>
    <x v="14"/>
    <n v="6"/>
    <n v="575"/>
    <x v="35"/>
    <n v="3450"/>
    <s v="Match"/>
  </r>
  <r>
    <s v="ORD1036"/>
    <d v="2024-04-03T00:00:00"/>
    <s v="CUST146"/>
    <x v="1"/>
    <s v="Beauty"/>
    <x v="3"/>
    <n v="1"/>
    <n v="2233"/>
    <x v="36"/>
    <n v="2233"/>
    <s v="Match"/>
  </r>
  <r>
    <s v="ORD1037"/>
    <d v="2024-01-11T00:00:00"/>
    <s v="CUST123"/>
    <x v="2"/>
    <s v="Beauty"/>
    <x v="5"/>
    <n v="7"/>
    <n v="345"/>
    <x v="37"/>
    <n v="2415"/>
    <s v="Match"/>
  </r>
  <r>
    <s v="ORD1038"/>
    <d v="2024-05-29T00:00:00"/>
    <s v="CUST146"/>
    <x v="2"/>
    <s v="Clothing"/>
    <x v="15"/>
    <n v="1"/>
    <n v="4588"/>
    <x v="38"/>
    <n v="4588"/>
    <s v="Match"/>
  </r>
  <r>
    <s v="ORD1039"/>
    <d v="2024-08-12T00:00:00"/>
    <s v="CUST107"/>
    <x v="0"/>
    <s v="Clothing"/>
    <x v="16"/>
    <n v="9"/>
    <n v="631"/>
    <x v="39"/>
    <n v="5679"/>
    <s v="Match"/>
  </r>
  <r>
    <s v="ORD1040"/>
    <d v="2024-11-02T00:00:00"/>
    <s v="CUST67"/>
    <x v="0"/>
    <s v="Electronics"/>
    <x v="9"/>
    <n v="1"/>
    <n v="904"/>
    <x v="40"/>
    <n v="904"/>
    <s v="Match"/>
  </r>
  <r>
    <s v="ORD1041"/>
    <d v="2024-12-27T00:00:00"/>
    <s v="CUST72"/>
    <x v="0"/>
    <s v="Beauty"/>
    <x v="14"/>
    <n v="1"/>
    <n v="2832"/>
    <x v="41"/>
    <n v="2832"/>
    <s v="Match"/>
  </r>
  <r>
    <s v="ORD1042"/>
    <d v="2024-03-07T00:00:00"/>
    <s v="CUST8"/>
    <x v="3"/>
    <s v="Electronics"/>
    <x v="2"/>
    <n v="7"/>
    <n v="4694"/>
    <x v="42"/>
    <n v="32858"/>
    <s v="Match"/>
  </r>
  <r>
    <s v="ORD1043"/>
    <d v="2024-06-17T00:00:00"/>
    <s v="CUST49"/>
    <x v="1"/>
    <s v="Beauty"/>
    <x v="0"/>
    <n v="2"/>
    <n v="1163"/>
    <x v="43"/>
    <n v="2326"/>
    <s v="Match"/>
  </r>
  <r>
    <s v="ORD1044"/>
    <d v="2024-08-28T00:00:00"/>
    <s v="CUST80"/>
    <x v="1"/>
    <s v="Beauty"/>
    <x v="14"/>
    <n v="5"/>
    <n v="2434"/>
    <x v="44"/>
    <n v="12170"/>
    <s v="Match"/>
  </r>
  <r>
    <s v="ORD1045"/>
    <d v="2024-02-19T00:00:00"/>
    <s v="CUST34"/>
    <x v="1"/>
    <s v="Clothing"/>
    <x v="17"/>
    <n v="8"/>
    <n v="2241"/>
    <x v="45"/>
    <n v="17928"/>
    <s v="Match"/>
  </r>
  <r>
    <s v="ORD1046"/>
    <d v="2024-03-06T00:00:00"/>
    <s v="CUST42"/>
    <x v="1"/>
    <s v="Clothing"/>
    <x v="7"/>
    <n v="8"/>
    <n v="2028"/>
    <x v="46"/>
    <n v="16224"/>
    <s v="Match"/>
  </r>
  <r>
    <s v="ORD1047"/>
    <d v="2024-12-07T00:00:00"/>
    <s v="CUST12"/>
    <x v="0"/>
    <s v="Furniture"/>
    <x v="8"/>
    <n v="3"/>
    <n v="2308"/>
    <x v="47"/>
    <n v="6924"/>
    <s v="Match"/>
  </r>
  <r>
    <s v="ORD1048"/>
    <d v="2024-10-14T00:00:00"/>
    <s v="CUST126"/>
    <x v="3"/>
    <s v="Clothing"/>
    <x v="15"/>
    <n v="7"/>
    <n v="4268"/>
    <x v="48"/>
    <n v="29876"/>
    <s v="Match"/>
  </r>
  <r>
    <s v="ORD1049"/>
    <d v="2024-08-30T00:00:00"/>
    <s v="CUST65"/>
    <x v="3"/>
    <s v="Furniture"/>
    <x v="12"/>
    <n v="3"/>
    <n v="1138"/>
    <x v="49"/>
    <n v="3414"/>
    <s v="Match"/>
  </r>
  <r>
    <s v="ORD1050"/>
    <d v="2024-04-06T00:00:00"/>
    <s v="CUST58"/>
    <x v="0"/>
    <s v="Furniture"/>
    <x v="11"/>
    <n v="6"/>
    <n v="1006"/>
    <x v="50"/>
    <n v="6036"/>
    <s v="Match"/>
  </r>
  <r>
    <s v="ORD1051"/>
    <d v="2024-11-01T00:00:00"/>
    <s v="CUST87"/>
    <x v="3"/>
    <s v="Furniture"/>
    <x v="8"/>
    <n v="6"/>
    <n v="1663"/>
    <x v="51"/>
    <n v="9978"/>
    <s v="Match"/>
  </r>
  <r>
    <s v="ORD1052"/>
    <d v="2024-04-20T00:00:00"/>
    <s v="CUST59"/>
    <x v="0"/>
    <s v="Furniture"/>
    <x v="11"/>
    <n v="3"/>
    <n v="3615"/>
    <x v="52"/>
    <n v="10845"/>
    <s v="Match"/>
  </r>
  <r>
    <s v="ORD1053"/>
    <d v="2024-08-25T00:00:00"/>
    <s v="CUST78"/>
    <x v="1"/>
    <s v="Furniture"/>
    <x v="4"/>
    <n v="7"/>
    <n v="210"/>
    <x v="53"/>
    <n v="1470"/>
    <s v="Match"/>
  </r>
  <r>
    <s v="ORD1054"/>
    <d v="2024-02-13T00:00:00"/>
    <s v="CUST92"/>
    <x v="0"/>
    <s v="Electronics"/>
    <x v="18"/>
    <n v="3"/>
    <n v="2068"/>
    <x v="54"/>
    <n v="6204"/>
    <s v="Match"/>
  </r>
  <r>
    <s v="ORD1055"/>
    <d v="2024-12-06T00:00:00"/>
    <s v="CUST17"/>
    <x v="1"/>
    <s v="Clothing"/>
    <x v="17"/>
    <n v="8"/>
    <n v="1084"/>
    <x v="55"/>
    <n v="8672"/>
    <s v="Match"/>
  </r>
  <r>
    <s v="ORD1056"/>
    <d v="2024-02-03T00:00:00"/>
    <s v="CUST51"/>
    <x v="1"/>
    <s v="Furniture"/>
    <x v="12"/>
    <n v="4"/>
    <n v="3764"/>
    <x v="56"/>
    <n v="15056"/>
    <s v="Match"/>
  </r>
  <r>
    <s v="ORD1057"/>
    <d v="2024-05-29T00:00:00"/>
    <s v="CUST56"/>
    <x v="2"/>
    <s v="Beauty"/>
    <x v="3"/>
    <n v="1"/>
    <n v="1589"/>
    <x v="57"/>
    <n v="1589"/>
    <s v="Match"/>
  </r>
  <r>
    <s v="ORD1058"/>
    <d v="2024-10-08T00:00:00"/>
    <s v="CUST137"/>
    <x v="0"/>
    <s v="Clothing"/>
    <x v="15"/>
    <n v="4"/>
    <n v="3601"/>
    <x v="58"/>
    <n v="14404"/>
    <s v="Match"/>
  </r>
  <r>
    <s v="ORD1059"/>
    <d v="2024-06-06T00:00:00"/>
    <s v="CUST90"/>
    <x v="2"/>
    <s v="Clothing"/>
    <x v="16"/>
    <n v="7"/>
    <n v="4521"/>
    <x v="59"/>
    <n v="31647"/>
    <s v="Match"/>
  </r>
  <r>
    <s v="ORD1060"/>
    <d v="2024-07-23T00:00:00"/>
    <s v="CUST116"/>
    <x v="0"/>
    <s v="Furniture"/>
    <x v="12"/>
    <n v="4"/>
    <n v="1024"/>
    <x v="60"/>
    <n v="4096"/>
    <s v="Match"/>
  </r>
  <r>
    <s v="ORD1061"/>
    <d v="2024-05-27T00:00:00"/>
    <s v="CUST40"/>
    <x v="0"/>
    <s v="Electronics"/>
    <x v="10"/>
    <n v="6"/>
    <n v="2465"/>
    <x v="61"/>
    <n v="14790"/>
    <s v="Match"/>
  </r>
  <r>
    <s v="ORD1062"/>
    <d v="2024-08-18T00:00:00"/>
    <s v="CUST42"/>
    <x v="2"/>
    <s v="Furniture"/>
    <x v="6"/>
    <n v="9"/>
    <n v="1136"/>
    <x v="62"/>
    <n v="10224"/>
    <s v="Match"/>
  </r>
  <r>
    <s v="ORD1063"/>
    <d v="2024-09-27T00:00:00"/>
    <s v="CUST10"/>
    <x v="2"/>
    <s v="Electronics"/>
    <x v="10"/>
    <n v="1"/>
    <n v="3000"/>
    <x v="63"/>
    <n v="3000"/>
    <s v="Match"/>
  </r>
  <r>
    <s v="ORD1064"/>
    <d v="2024-10-31T00:00:00"/>
    <s v="CUST52"/>
    <x v="0"/>
    <s v="Beauty"/>
    <x v="0"/>
    <n v="5"/>
    <n v="2753"/>
    <x v="64"/>
    <n v="13765"/>
    <s v="Match"/>
  </r>
  <r>
    <s v="ORD1065"/>
    <d v="2024-11-30T00:00:00"/>
    <s v="CUST13"/>
    <x v="3"/>
    <s v="Clothing"/>
    <x v="15"/>
    <n v="7"/>
    <n v="4045"/>
    <x v="65"/>
    <n v="28315"/>
    <s v="Match"/>
  </r>
  <r>
    <s v="ORD1066"/>
    <d v="2024-06-02T00:00:00"/>
    <s v="CUST49"/>
    <x v="1"/>
    <s v="Beauty"/>
    <x v="19"/>
    <n v="1"/>
    <n v="1996"/>
    <x v="66"/>
    <n v="1996"/>
    <s v="Match"/>
  </r>
  <r>
    <s v="ORD1067"/>
    <d v="2024-03-02T00:00:00"/>
    <s v="CUST20"/>
    <x v="2"/>
    <s v="Electronics"/>
    <x v="2"/>
    <n v="4"/>
    <n v="253"/>
    <x v="67"/>
    <n v="1012"/>
    <s v="Match"/>
  </r>
  <r>
    <s v="ORD1068"/>
    <d v="2024-09-10T00:00:00"/>
    <s v="CUST121"/>
    <x v="1"/>
    <s v="Electronics"/>
    <x v="2"/>
    <n v="6"/>
    <n v="926"/>
    <x v="68"/>
    <n v="5556"/>
    <s v="Match"/>
  </r>
  <r>
    <s v="ORD1069"/>
    <d v="2024-01-14T00:00:00"/>
    <s v="CUST97"/>
    <x v="3"/>
    <s v="Beauty"/>
    <x v="5"/>
    <n v="2"/>
    <n v="2936"/>
    <x v="69"/>
    <n v="5872"/>
    <s v="Match"/>
  </r>
  <r>
    <s v="ORD1070"/>
    <d v="2024-02-18T00:00:00"/>
    <s v="CUST37"/>
    <x v="3"/>
    <s v="Electronics"/>
    <x v="13"/>
    <n v="5"/>
    <n v="3370"/>
    <x v="70"/>
    <n v="16850"/>
    <s v="Match"/>
  </r>
  <r>
    <s v="ORD1071"/>
    <d v="2024-12-01T00:00:00"/>
    <s v="CUST76"/>
    <x v="3"/>
    <s v="Beauty"/>
    <x v="19"/>
    <n v="1"/>
    <n v="2113"/>
    <x v="71"/>
    <n v="2113"/>
    <s v="Match"/>
  </r>
  <r>
    <s v="ORD1072"/>
    <d v="2024-02-19T00:00:00"/>
    <s v="CUST71"/>
    <x v="2"/>
    <s v="Clothing"/>
    <x v="16"/>
    <n v="6"/>
    <n v="1796"/>
    <x v="72"/>
    <n v="10776"/>
    <s v="Match"/>
  </r>
  <r>
    <s v="ORD1073"/>
    <d v="2024-04-14T00:00:00"/>
    <s v="CUST117"/>
    <x v="3"/>
    <s v="Beauty"/>
    <x v="14"/>
    <n v="6"/>
    <n v="2114"/>
    <x v="73"/>
    <n v="12684"/>
    <s v="Match"/>
  </r>
  <r>
    <s v="ORD1074"/>
    <d v="2024-12-21T00:00:00"/>
    <s v="CUST32"/>
    <x v="2"/>
    <s v="Clothing"/>
    <x v="17"/>
    <n v="4"/>
    <n v="2666"/>
    <x v="74"/>
    <n v="10664"/>
    <s v="Match"/>
  </r>
  <r>
    <s v="ORD1075"/>
    <d v="2024-06-07T00:00:00"/>
    <s v="CUST110"/>
    <x v="3"/>
    <s v="Beauty"/>
    <x v="5"/>
    <n v="8"/>
    <n v="2937"/>
    <x v="75"/>
    <n v="23496"/>
    <s v="Match"/>
  </r>
  <r>
    <s v="ORD1076"/>
    <d v="2024-10-15T00:00:00"/>
    <s v="CUST81"/>
    <x v="1"/>
    <s v="Electronics"/>
    <x v="9"/>
    <n v="4"/>
    <n v="1049"/>
    <x v="76"/>
    <n v="4196"/>
    <s v="Match"/>
  </r>
  <r>
    <s v="ORD1077"/>
    <d v="2024-05-02T00:00:00"/>
    <s v="CUST61"/>
    <x v="1"/>
    <s v="Beauty"/>
    <x v="3"/>
    <n v="8"/>
    <n v="2309"/>
    <x v="77"/>
    <n v="18472"/>
    <s v="Match"/>
  </r>
  <r>
    <s v="ORD1078"/>
    <d v="2024-11-21T00:00:00"/>
    <s v="CUST73"/>
    <x v="0"/>
    <s v="Electronics"/>
    <x v="13"/>
    <n v="8"/>
    <n v="202"/>
    <x v="78"/>
    <n v="1616"/>
    <s v="Match"/>
  </r>
  <r>
    <s v="ORD1079"/>
    <d v="2024-01-06T00:00:00"/>
    <s v="CUST89"/>
    <x v="1"/>
    <s v="Beauty"/>
    <x v="14"/>
    <n v="5"/>
    <n v="4455"/>
    <x v="79"/>
    <n v="22275"/>
    <s v="Match"/>
  </r>
  <r>
    <s v="ORD1080"/>
    <d v="2024-05-23T00:00:00"/>
    <s v="CUST123"/>
    <x v="0"/>
    <s v="Beauty"/>
    <x v="19"/>
    <n v="4"/>
    <n v="4269"/>
    <x v="80"/>
    <n v="17076"/>
    <s v="Match"/>
  </r>
  <r>
    <s v="ORD1081"/>
    <d v="2024-09-16T00:00:00"/>
    <s v="CUST126"/>
    <x v="1"/>
    <s v="Furniture"/>
    <x v="11"/>
    <n v="2"/>
    <n v="1092"/>
    <x v="81"/>
    <n v="2184"/>
    <s v="Match"/>
  </r>
  <r>
    <s v="ORD1082"/>
    <d v="2024-03-08T00:00:00"/>
    <s v="CUST132"/>
    <x v="2"/>
    <s v="Electronics"/>
    <x v="2"/>
    <n v="3"/>
    <n v="2230"/>
    <x v="82"/>
    <n v="6690"/>
    <s v="Match"/>
  </r>
  <r>
    <s v="ORD1083"/>
    <d v="2024-01-31T00:00:00"/>
    <s v="CUST104"/>
    <x v="1"/>
    <s v="Furniture"/>
    <x v="6"/>
    <n v="3"/>
    <n v="3360"/>
    <x v="83"/>
    <n v="10080"/>
    <s v="Match"/>
  </r>
  <r>
    <s v="ORD1084"/>
    <d v="2024-06-14T00:00:00"/>
    <s v="CUST139"/>
    <x v="0"/>
    <s v="Electronics"/>
    <x v="13"/>
    <n v="4"/>
    <n v="2576"/>
    <x v="84"/>
    <n v="10304"/>
    <s v="Match"/>
  </r>
  <r>
    <s v="ORD1085"/>
    <d v="2024-10-03T00:00:00"/>
    <s v="CUST104"/>
    <x v="0"/>
    <s v="Furniture"/>
    <x v="8"/>
    <n v="4"/>
    <n v="4875"/>
    <x v="85"/>
    <n v="19500"/>
    <s v="Match"/>
  </r>
  <r>
    <s v="ORD1086"/>
    <d v="2024-07-07T00:00:00"/>
    <s v="CUST11"/>
    <x v="3"/>
    <s v="Clothing"/>
    <x v="1"/>
    <n v="5"/>
    <n v="2133"/>
    <x v="86"/>
    <n v="10665"/>
    <s v="Match"/>
  </r>
  <r>
    <s v="ORD1087"/>
    <d v="2024-03-01T00:00:00"/>
    <s v="CUST1"/>
    <x v="2"/>
    <s v="Beauty"/>
    <x v="5"/>
    <n v="4"/>
    <n v="1580"/>
    <x v="87"/>
    <n v="6320"/>
    <s v="Match"/>
  </r>
  <r>
    <s v="ORD1088"/>
    <d v="2024-08-20T00:00:00"/>
    <s v="CUST70"/>
    <x v="1"/>
    <s v="Electronics"/>
    <x v="13"/>
    <n v="8"/>
    <n v="3881"/>
    <x v="88"/>
    <n v="31048"/>
    <s v="Match"/>
  </r>
  <r>
    <s v="ORD1089"/>
    <d v="2024-08-13T00:00:00"/>
    <s v="CUST121"/>
    <x v="3"/>
    <s v="Electronics"/>
    <x v="2"/>
    <n v="6"/>
    <n v="1490"/>
    <x v="89"/>
    <n v="8940"/>
    <s v="Match"/>
  </r>
  <r>
    <s v="ORD1090"/>
    <d v="2024-07-07T00:00:00"/>
    <s v="CUST19"/>
    <x v="1"/>
    <s v="Beauty"/>
    <x v="0"/>
    <n v="6"/>
    <n v="1840"/>
    <x v="90"/>
    <n v="11040"/>
    <s v="Match"/>
  </r>
  <r>
    <s v="ORD1091"/>
    <d v="2024-05-04T00:00:00"/>
    <s v="CUST10"/>
    <x v="1"/>
    <s v="Electronics"/>
    <x v="2"/>
    <n v="8"/>
    <n v="2882"/>
    <x v="91"/>
    <n v="23056"/>
    <s v="Match"/>
  </r>
  <r>
    <s v="ORD1092"/>
    <d v="2024-12-03T00:00:00"/>
    <s v="CUST145"/>
    <x v="3"/>
    <s v="Electronics"/>
    <x v="10"/>
    <n v="7"/>
    <n v="1187"/>
    <x v="92"/>
    <n v="8309"/>
    <s v="Match"/>
  </r>
  <r>
    <s v="ORD1093"/>
    <d v="2024-07-19T00:00:00"/>
    <s v="CUST89"/>
    <x v="3"/>
    <s v="Furniture"/>
    <x v="8"/>
    <n v="8"/>
    <n v="1418"/>
    <x v="93"/>
    <n v="11344"/>
    <s v="Match"/>
  </r>
  <r>
    <s v="ORD1094"/>
    <d v="2024-02-26T00:00:00"/>
    <s v="CUST75"/>
    <x v="3"/>
    <s v="Electronics"/>
    <x v="10"/>
    <n v="2"/>
    <n v="1555"/>
    <x v="94"/>
    <n v="3110"/>
    <s v="Match"/>
  </r>
  <r>
    <s v="ORD1095"/>
    <d v="2024-09-23T00:00:00"/>
    <s v="CUST138"/>
    <x v="3"/>
    <s v="Clothing"/>
    <x v="15"/>
    <n v="9"/>
    <n v="4465"/>
    <x v="95"/>
    <n v="40185"/>
    <s v="Match"/>
  </r>
  <r>
    <s v="ORD1096"/>
    <d v="2024-05-20T00:00:00"/>
    <s v="CUST82"/>
    <x v="3"/>
    <s v="Clothing"/>
    <x v="17"/>
    <n v="1"/>
    <n v="4816"/>
    <x v="96"/>
    <n v="4816"/>
    <s v="Match"/>
  </r>
  <r>
    <s v="ORD1097"/>
    <d v="2024-09-05T00:00:00"/>
    <s v="CUST118"/>
    <x v="1"/>
    <s v="Beauty"/>
    <x v="19"/>
    <n v="8"/>
    <n v="4335"/>
    <x v="97"/>
    <n v="34680"/>
    <s v="Match"/>
  </r>
  <r>
    <s v="ORD1098"/>
    <d v="2024-07-17T00:00:00"/>
    <s v="CUST101"/>
    <x v="3"/>
    <s v="Electronics"/>
    <x v="13"/>
    <n v="4"/>
    <n v="1760"/>
    <x v="98"/>
    <n v="7040"/>
    <s v="Match"/>
  </r>
  <r>
    <s v="ORD1099"/>
    <d v="2024-08-27T00:00:00"/>
    <s v="CUST122"/>
    <x v="2"/>
    <s v="Beauty"/>
    <x v="3"/>
    <n v="4"/>
    <n v="1618"/>
    <x v="99"/>
    <n v="6472"/>
    <s v="Match"/>
  </r>
  <r>
    <s v="ORD1100"/>
    <d v="2024-06-24T00:00:00"/>
    <s v="CUST78"/>
    <x v="0"/>
    <s v="Clothing"/>
    <x v="15"/>
    <n v="5"/>
    <n v="1154"/>
    <x v="100"/>
    <n v="5770"/>
    <s v="Match"/>
  </r>
  <r>
    <s v="ORD1101"/>
    <d v="2024-11-30T00:00:00"/>
    <s v="CUST131"/>
    <x v="3"/>
    <s v="Electronics"/>
    <x v="13"/>
    <n v="8"/>
    <n v="1183"/>
    <x v="101"/>
    <n v="9464"/>
    <s v="Match"/>
  </r>
  <r>
    <s v="ORD1102"/>
    <d v="2024-03-08T00:00:00"/>
    <s v="CUST11"/>
    <x v="3"/>
    <s v="Electronics"/>
    <x v="13"/>
    <n v="5"/>
    <n v="1174"/>
    <x v="102"/>
    <n v="5870"/>
    <s v="Match"/>
  </r>
  <r>
    <s v="ORD1103"/>
    <d v="2024-05-04T00:00:00"/>
    <s v="CUST107"/>
    <x v="1"/>
    <s v="Beauty"/>
    <x v="5"/>
    <n v="8"/>
    <n v="4333"/>
    <x v="103"/>
    <n v="34664"/>
    <s v="Match"/>
  </r>
  <r>
    <s v="ORD1104"/>
    <d v="2024-09-12T00:00:00"/>
    <s v="CUST127"/>
    <x v="3"/>
    <s v="Clothing"/>
    <x v="7"/>
    <n v="1"/>
    <n v="4172"/>
    <x v="104"/>
    <n v="4172"/>
    <s v="Match"/>
  </r>
  <r>
    <s v="ORD1105"/>
    <d v="2024-04-26T00:00:00"/>
    <s v="CUST136"/>
    <x v="3"/>
    <s v="Electronics"/>
    <x v="13"/>
    <n v="9"/>
    <n v="1113"/>
    <x v="105"/>
    <n v="10017"/>
    <s v="Match"/>
  </r>
  <r>
    <s v="ORD1106"/>
    <d v="2024-06-16T00:00:00"/>
    <s v="CUST101"/>
    <x v="3"/>
    <s v="Beauty"/>
    <x v="19"/>
    <n v="6"/>
    <n v="4749"/>
    <x v="106"/>
    <n v="28494"/>
    <s v="Match"/>
  </r>
  <r>
    <s v="ORD1107"/>
    <d v="2024-03-29T00:00:00"/>
    <s v="CUST7"/>
    <x v="1"/>
    <s v="Clothing"/>
    <x v="16"/>
    <n v="3"/>
    <n v="236"/>
    <x v="107"/>
    <n v="708"/>
    <s v="Match"/>
  </r>
  <r>
    <s v="ORD1108"/>
    <d v="2024-05-26T00:00:00"/>
    <s v="CUST95"/>
    <x v="3"/>
    <s v="Beauty"/>
    <x v="5"/>
    <n v="8"/>
    <n v="3587"/>
    <x v="108"/>
    <n v="28696"/>
    <s v="Match"/>
  </r>
  <r>
    <s v="ORD1109"/>
    <d v="2024-02-06T00:00:00"/>
    <s v="CUST133"/>
    <x v="0"/>
    <s v="Furniture"/>
    <x v="6"/>
    <n v="9"/>
    <n v="1911"/>
    <x v="109"/>
    <n v="17199"/>
    <s v="Match"/>
  </r>
  <r>
    <s v="ORD1110"/>
    <d v="2024-01-13T00:00:00"/>
    <s v="CUST30"/>
    <x v="1"/>
    <s v="Electronics"/>
    <x v="10"/>
    <n v="6"/>
    <n v="3220"/>
    <x v="110"/>
    <n v="19320"/>
    <s v="Match"/>
  </r>
  <r>
    <s v="ORD1111"/>
    <d v="2024-09-01T00:00:00"/>
    <s v="CUST12"/>
    <x v="0"/>
    <s v="Furniture"/>
    <x v="11"/>
    <n v="7"/>
    <n v="995"/>
    <x v="111"/>
    <n v="6965"/>
    <s v="Match"/>
  </r>
  <r>
    <s v="ORD1112"/>
    <d v="2024-08-26T00:00:00"/>
    <s v="CUST58"/>
    <x v="1"/>
    <s v="Clothing"/>
    <x v="1"/>
    <n v="1"/>
    <n v="4236"/>
    <x v="112"/>
    <n v="4236"/>
    <s v="Match"/>
  </r>
  <r>
    <s v="ORD1113"/>
    <d v="2024-11-21T00:00:00"/>
    <s v="CUST144"/>
    <x v="3"/>
    <s v="Furniture"/>
    <x v="8"/>
    <n v="5"/>
    <n v="4888"/>
    <x v="113"/>
    <n v="24440"/>
    <s v="Match"/>
  </r>
  <r>
    <s v="ORD1114"/>
    <d v="2024-05-31T00:00:00"/>
    <s v="CUST15"/>
    <x v="0"/>
    <s v="Furniture"/>
    <x v="8"/>
    <n v="5"/>
    <n v="3311"/>
    <x v="114"/>
    <n v="16555"/>
    <s v="Match"/>
  </r>
  <r>
    <s v="ORD1115"/>
    <d v="2024-05-15T00:00:00"/>
    <s v="CUST1"/>
    <x v="1"/>
    <s v="Clothing"/>
    <x v="15"/>
    <n v="4"/>
    <n v="1524"/>
    <x v="115"/>
    <n v="6096"/>
    <s v="Match"/>
  </r>
  <r>
    <s v="ORD1116"/>
    <d v="2024-08-03T00:00:00"/>
    <s v="CUST31"/>
    <x v="2"/>
    <s v="Beauty"/>
    <x v="5"/>
    <n v="6"/>
    <n v="517"/>
    <x v="116"/>
    <n v="3102"/>
    <s v="Match"/>
  </r>
  <r>
    <s v="ORD1117"/>
    <d v="2024-10-07T00:00:00"/>
    <s v="CUST108"/>
    <x v="3"/>
    <s v="Furniture"/>
    <x v="8"/>
    <n v="7"/>
    <n v="2596"/>
    <x v="117"/>
    <n v="18172"/>
    <s v="Match"/>
  </r>
  <r>
    <s v="ORD1118"/>
    <d v="2024-06-27T00:00:00"/>
    <s v="CUST145"/>
    <x v="1"/>
    <s v="Beauty"/>
    <x v="5"/>
    <n v="9"/>
    <n v="2362"/>
    <x v="118"/>
    <n v="21258"/>
    <s v="Match"/>
  </r>
  <r>
    <s v="ORD1119"/>
    <d v="2024-06-18T00:00:00"/>
    <s v="CUST78"/>
    <x v="2"/>
    <s v="Furniture"/>
    <x v="6"/>
    <n v="1"/>
    <n v="2945"/>
    <x v="119"/>
    <n v="2945"/>
    <s v="Match"/>
  </r>
  <r>
    <s v="ORD1120"/>
    <d v="2024-08-07T00:00:00"/>
    <s v="CUST133"/>
    <x v="1"/>
    <s v="Beauty"/>
    <x v="14"/>
    <n v="6"/>
    <n v="1791"/>
    <x v="120"/>
    <n v="10746"/>
    <s v="Match"/>
  </r>
  <r>
    <s v="ORD1121"/>
    <d v="2024-12-28T00:00:00"/>
    <s v="CUST29"/>
    <x v="2"/>
    <s v="Clothing"/>
    <x v="7"/>
    <n v="7"/>
    <n v="3311"/>
    <x v="121"/>
    <n v="23177"/>
    <s v="Match"/>
  </r>
  <r>
    <s v="ORD1122"/>
    <d v="2024-04-06T00:00:00"/>
    <s v="CUST61"/>
    <x v="3"/>
    <s v="Furniture"/>
    <x v="6"/>
    <n v="3"/>
    <n v="4130"/>
    <x v="122"/>
    <n v="12390"/>
    <s v="Match"/>
  </r>
  <r>
    <s v="ORD1123"/>
    <d v="2024-09-29T00:00:00"/>
    <s v="CUST107"/>
    <x v="0"/>
    <s v="Clothing"/>
    <x v="15"/>
    <n v="8"/>
    <n v="2196"/>
    <x v="123"/>
    <n v="17568"/>
    <s v="Match"/>
  </r>
  <r>
    <s v="ORD1124"/>
    <d v="2024-01-28T00:00:00"/>
    <s v="CUST94"/>
    <x v="2"/>
    <s v="Furniture"/>
    <x v="11"/>
    <n v="5"/>
    <n v="1512"/>
    <x v="124"/>
    <n v="7560"/>
    <s v="Match"/>
  </r>
  <r>
    <s v="ORD1125"/>
    <d v="2024-01-04T00:00:00"/>
    <s v="CUST66"/>
    <x v="1"/>
    <s v="Clothing"/>
    <x v="7"/>
    <n v="9"/>
    <n v="1485"/>
    <x v="125"/>
    <n v="13365"/>
    <s v="Match"/>
  </r>
  <r>
    <s v="ORD1126"/>
    <d v="2024-11-25T00:00:00"/>
    <s v="CUST140"/>
    <x v="3"/>
    <s v="Clothing"/>
    <x v="7"/>
    <n v="5"/>
    <n v="4511"/>
    <x v="126"/>
    <n v="22555"/>
    <s v="Match"/>
  </r>
  <r>
    <s v="ORD1127"/>
    <d v="2024-02-23T00:00:00"/>
    <s v="CUST59"/>
    <x v="2"/>
    <s v="Furniture"/>
    <x v="11"/>
    <n v="9"/>
    <n v="2583"/>
    <x v="127"/>
    <n v="23247"/>
    <s v="Match"/>
  </r>
  <r>
    <s v="ORD1128"/>
    <d v="2024-10-18T00:00:00"/>
    <s v="CUST32"/>
    <x v="1"/>
    <s v="Furniture"/>
    <x v="11"/>
    <n v="4"/>
    <n v="3439"/>
    <x v="128"/>
    <n v="13756"/>
    <s v="Match"/>
  </r>
  <r>
    <s v="ORD1129"/>
    <d v="2024-12-18T00:00:00"/>
    <s v="CUST59"/>
    <x v="1"/>
    <s v="Furniture"/>
    <x v="6"/>
    <n v="9"/>
    <n v="2339"/>
    <x v="129"/>
    <n v="21051"/>
    <s v="Match"/>
  </r>
  <r>
    <s v="ORD1130"/>
    <d v="2024-06-05T00:00:00"/>
    <s v="CUST2"/>
    <x v="1"/>
    <s v="Electronics"/>
    <x v="18"/>
    <n v="5"/>
    <n v="1904"/>
    <x v="130"/>
    <n v="9520"/>
    <s v="Match"/>
  </r>
  <r>
    <s v="ORD1131"/>
    <d v="2024-12-03T00:00:00"/>
    <s v="CUST97"/>
    <x v="2"/>
    <s v="Beauty"/>
    <x v="19"/>
    <n v="9"/>
    <n v="562"/>
    <x v="131"/>
    <n v="5058"/>
    <s v="Match"/>
  </r>
  <r>
    <s v="ORD1132"/>
    <d v="2024-08-20T00:00:00"/>
    <s v="CUST74"/>
    <x v="2"/>
    <s v="Electronics"/>
    <x v="2"/>
    <n v="3"/>
    <n v="2804"/>
    <x v="132"/>
    <n v="8412"/>
    <s v="Match"/>
  </r>
  <r>
    <s v="ORD1133"/>
    <d v="2024-04-06T00:00:00"/>
    <s v="CUST30"/>
    <x v="2"/>
    <s v="Electronics"/>
    <x v="13"/>
    <n v="4"/>
    <n v="1916"/>
    <x v="133"/>
    <n v="7664"/>
    <s v="Match"/>
  </r>
  <r>
    <s v="ORD1134"/>
    <d v="2024-03-22T00:00:00"/>
    <s v="CUST4"/>
    <x v="0"/>
    <s v="Clothing"/>
    <x v="1"/>
    <n v="9"/>
    <n v="4651"/>
    <x v="134"/>
    <n v="41859"/>
    <s v="Match"/>
  </r>
  <r>
    <s v="ORD1135"/>
    <d v="2024-11-21T00:00:00"/>
    <s v="CUST63"/>
    <x v="2"/>
    <s v="Furniture"/>
    <x v="6"/>
    <n v="6"/>
    <n v="4486"/>
    <x v="135"/>
    <n v="26916"/>
    <s v="Match"/>
  </r>
  <r>
    <s v="ORD1136"/>
    <d v="2024-07-29T00:00:00"/>
    <s v="CUST12"/>
    <x v="2"/>
    <s v="Beauty"/>
    <x v="5"/>
    <n v="2"/>
    <n v="3938"/>
    <x v="136"/>
    <n v="7876"/>
    <s v="Match"/>
  </r>
  <r>
    <s v="ORD1137"/>
    <d v="2024-11-17T00:00:00"/>
    <s v="CUST143"/>
    <x v="2"/>
    <s v="Clothing"/>
    <x v="1"/>
    <n v="7"/>
    <n v="2669"/>
    <x v="137"/>
    <n v="18683"/>
    <s v="Match"/>
  </r>
  <r>
    <s v="ORD1138"/>
    <d v="2024-05-09T00:00:00"/>
    <s v="CUST146"/>
    <x v="0"/>
    <s v="Electronics"/>
    <x v="10"/>
    <n v="2"/>
    <n v="4995"/>
    <x v="138"/>
    <n v="9990"/>
    <s v="Match"/>
  </r>
  <r>
    <s v="ORD1139"/>
    <d v="2024-07-07T00:00:00"/>
    <s v="CUST27"/>
    <x v="2"/>
    <s v="Furniture"/>
    <x v="8"/>
    <n v="2"/>
    <n v="756"/>
    <x v="139"/>
    <n v="1512"/>
    <s v="Match"/>
  </r>
  <r>
    <s v="ORD1140"/>
    <d v="2024-01-20T00:00:00"/>
    <s v="CUST21"/>
    <x v="1"/>
    <s v="Clothing"/>
    <x v="15"/>
    <n v="1"/>
    <n v="1025"/>
    <x v="140"/>
    <n v="1025"/>
    <s v="Match"/>
  </r>
  <r>
    <s v="ORD1141"/>
    <d v="2024-07-11T00:00:00"/>
    <s v="CUST117"/>
    <x v="2"/>
    <s v="Furniture"/>
    <x v="6"/>
    <n v="3"/>
    <n v="3008"/>
    <x v="141"/>
    <n v="9024"/>
    <s v="Match"/>
  </r>
  <r>
    <s v="ORD1142"/>
    <d v="2024-10-08T00:00:00"/>
    <s v="CUST108"/>
    <x v="1"/>
    <s v="Clothing"/>
    <x v="15"/>
    <n v="6"/>
    <n v="4721"/>
    <x v="142"/>
    <n v="28326"/>
    <s v="Match"/>
  </r>
  <r>
    <s v="ORD1143"/>
    <d v="2024-11-08T00:00:00"/>
    <s v="CUST130"/>
    <x v="1"/>
    <s v="Furniture"/>
    <x v="6"/>
    <n v="8"/>
    <n v="2919"/>
    <x v="143"/>
    <n v="23352"/>
    <s v="Match"/>
  </r>
  <r>
    <s v="ORD1144"/>
    <d v="2024-04-07T00:00:00"/>
    <s v="CUST64"/>
    <x v="1"/>
    <s v="Electronics"/>
    <x v="13"/>
    <n v="9"/>
    <n v="3708"/>
    <x v="144"/>
    <n v="33372"/>
    <s v="Match"/>
  </r>
  <r>
    <s v="ORD1145"/>
    <d v="2024-02-17T00:00:00"/>
    <s v="CUST125"/>
    <x v="0"/>
    <s v="Beauty"/>
    <x v="3"/>
    <n v="7"/>
    <n v="3941"/>
    <x v="145"/>
    <n v="27587"/>
    <s v="Match"/>
  </r>
  <r>
    <s v="ORD1146"/>
    <d v="2024-05-16T00:00:00"/>
    <s v="CUST44"/>
    <x v="0"/>
    <s v="Electronics"/>
    <x v="9"/>
    <n v="4"/>
    <n v="1774"/>
    <x v="146"/>
    <n v="7096"/>
    <s v="Match"/>
  </r>
  <r>
    <s v="ORD1147"/>
    <d v="2024-01-05T00:00:00"/>
    <s v="CUST38"/>
    <x v="0"/>
    <s v="Beauty"/>
    <x v="3"/>
    <n v="6"/>
    <n v="4198"/>
    <x v="147"/>
    <n v="25188"/>
    <s v="Match"/>
  </r>
  <r>
    <s v="ORD1148"/>
    <d v="2024-08-16T00:00:00"/>
    <s v="CUST138"/>
    <x v="2"/>
    <s v="Furniture"/>
    <x v="11"/>
    <n v="5"/>
    <n v="2329"/>
    <x v="148"/>
    <n v="11645"/>
    <s v="Match"/>
  </r>
  <r>
    <s v="ORD1149"/>
    <d v="2024-03-01T00:00:00"/>
    <s v="CUST129"/>
    <x v="1"/>
    <s v="Clothing"/>
    <x v="16"/>
    <n v="8"/>
    <n v="2603"/>
    <x v="149"/>
    <n v="20824"/>
    <s v="Match"/>
  </r>
  <r>
    <s v="ORD1150"/>
    <d v="2024-08-22T00:00:00"/>
    <s v="CUST104"/>
    <x v="0"/>
    <s v="Electronics"/>
    <x v="13"/>
    <n v="1"/>
    <n v="3529"/>
    <x v="150"/>
    <n v="3529"/>
    <s v="Match"/>
  </r>
  <r>
    <s v="ORD1151"/>
    <d v="2024-03-25T00:00:00"/>
    <s v="CUST97"/>
    <x v="0"/>
    <s v="Beauty"/>
    <x v="0"/>
    <n v="1"/>
    <n v="788"/>
    <x v="151"/>
    <n v="788"/>
    <s v="Match"/>
  </r>
  <r>
    <s v="ORD1152"/>
    <d v="2024-04-22T00:00:00"/>
    <s v="CUST76"/>
    <x v="2"/>
    <s v="Electronics"/>
    <x v="18"/>
    <n v="6"/>
    <n v="2212"/>
    <x v="152"/>
    <n v="13272"/>
    <s v="Match"/>
  </r>
  <r>
    <s v="ORD1153"/>
    <d v="2024-07-07T00:00:00"/>
    <s v="CUST83"/>
    <x v="0"/>
    <s v="Beauty"/>
    <x v="14"/>
    <n v="2"/>
    <n v="1747"/>
    <x v="153"/>
    <n v="3494"/>
    <s v="Match"/>
  </r>
  <r>
    <s v="ORD1154"/>
    <d v="2024-11-09T00:00:00"/>
    <s v="CUST134"/>
    <x v="2"/>
    <s v="Electronics"/>
    <x v="18"/>
    <n v="5"/>
    <n v="494"/>
    <x v="154"/>
    <n v="2470"/>
    <s v="Match"/>
  </r>
  <r>
    <s v="ORD1155"/>
    <d v="2024-06-11T00:00:00"/>
    <s v="CUST57"/>
    <x v="3"/>
    <s v="Beauty"/>
    <x v="5"/>
    <n v="1"/>
    <n v="2185"/>
    <x v="155"/>
    <n v="2185"/>
    <s v="Match"/>
  </r>
  <r>
    <s v="ORD1156"/>
    <d v="2024-03-06T00:00:00"/>
    <s v="CUST71"/>
    <x v="0"/>
    <s v="Beauty"/>
    <x v="3"/>
    <n v="7"/>
    <n v="3317"/>
    <x v="156"/>
    <n v="23219"/>
    <s v="Match"/>
  </r>
  <r>
    <s v="ORD1157"/>
    <d v="2024-04-20T00:00:00"/>
    <s v="CUST17"/>
    <x v="3"/>
    <s v="Furniture"/>
    <x v="12"/>
    <n v="1"/>
    <n v="1890"/>
    <x v="157"/>
    <n v="1890"/>
    <s v="Match"/>
  </r>
  <r>
    <s v="ORD1158"/>
    <d v="2024-08-27T00:00:00"/>
    <s v="CUST6"/>
    <x v="2"/>
    <s v="Beauty"/>
    <x v="0"/>
    <n v="4"/>
    <n v="1336"/>
    <x v="158"/>
    <n v="5344"/>
    <s v="Match"/>
  </r>
  <r>
    <s v="ORD1159"/>
    <d v="2024-04-06T00:00:00"/>
    <s v="CUST76"/>
    <x v="1"/>
    <s v="Furniture"/>
    <x v="8"/>
    <n v="9"/>
    <n v="2264"/>
    <x v="159"/>
    <n v="20376"/>
    <s v="Match"/>
  </r>
  <r>
    <s v="ORD1160"/>
    <d v="2024-05-04T00:00:00"/>
    <s v="CUST59"/>
    <x v="0"/>
    <s v="Beauty"/>
    <x v="14"/>
    <n v="1"/>
    <n v="4655"/>
    <x v="160"/>
    <n v="4655"/>
    <s v="Match"/>
  </r>
  <r>
    <s v="ORD1161"/>
    <d v="2024-08-23T00:00:00"/>
    <s v="CUST100"/>
    <x v="2"/>
    <s v="Clothing"/>
    <x v="1"/>
    <n v="4"/>
    <n v="4995"/>
    <x v="161"/>
    <n v="19980"/>
    <s v="Match"/>
  </r>
  <r>
    <s v="ORD1162"/>
    <d v="2024-05-21T00:00:00"/>
    <s v="CUST85"/>
    <x v="1"/>
    <s v="Clothing"/>
    <x v="16"/>
    <n v="6"/>
    <n v="4743"/>
    <x v="162"/>
    <n v="28458"/>
    <s v="Match"/>
  </r>
  <r>
    <s v="ORD1163"/>
    <d v="2024-09-07T00:00:00"/>
    <s v="CUST61"/>
    <x v="1"/>
    <s v="Clothing"/>
    <x v="15"/>
    <n v="6"/>
    <n v="4970"/>
    <x v="163"/>
    <n v="29820"/>
    <s v="Match"/>
  </r>
  <r>
    <s v="ORD1164"/>
    <d v="2024-12-10T00:00:00"/>
    <s v="CUST74"/>
    <x v="3"/>
    <s v="Beauty"/>
    <x v="14"/>
    <n v="8"/>
    <n v="1207"/>
    <x v="164"/>
    <n v="9656"/>
    <s v="Match"/>
  </r>
  <r>
    <s v="ORD1165"/>
    <d v="2024-04-30T00:00:00"/>
    <s v="CUST95"/>
    <x v="2"/>
    <s v="Furniture"/>
    <x v="8"/>
    <n v="1"/>
    <n v="2714"/>
    <x v="165"/>
    <n v="2714"/>
    <s v="Match"/>
  </r>
  <r>
    <s v="ORD1166"/>
    <d v="2024-10-13T00:00:00"/>
    <s v="CUST28"/>
    <x v="1"/>
    <s v="Furniture"/>
    <x v="4"/>
    <n v="7"/>
    <n v="3726"/>
    <x v="166"/>
    <n v="26082"/>
    <s v="Match"/>
  </r>
  <r>
    <s v="ORD1167"/>
    <d v="2024-11-24T00:00:00"/>
    <s v="CUST77"/>
    <x v="0"/>
    <s v="Beauty"/>
    <x v="5"/>
    <n v="1"/>
    <n v="4881"/>
    <x v="167"/>
    <n v="4881"/>
    <s v="Match"/>
  </r>
  <r>
    <s v="ORD1168"/>
    <d v="2024-09-12T00:00:00"/>
    <s v="CUST125"/>
    <x v="0"/>
    <s v="Clothing"/>
    <x v="1"/>
    <n v="7"/>
    <n v="1447"/>
    <x v="168"/>
    <n v="10129"/>
    <s v="Match"/>
  </r>
  <r>
    <s v="ORD1169"/>
    <d v="2024-06-24T00:00:00"/>
    <s v="CUST52"/>
    <x v="3"/>
    <s v="Clothing"/>
    <x v="15"/>
    <n v="3"/>
    <n v="4102"/>
    <x v="169"/>
    <n v="12306"/>
    <s v="Match"/>
  </r>
  <r>
    <s v="ORD1170"/>
    <d v="2024-12-24T00:00:00"/>
    <s v="CUST37"/>
    <x v="1"/>
    <s v="Furniture"/>
    <x v="8"/>
    <n v="8"/>
    <n v="1635"/>
    <x v="170"/>
    <n v="13080"/>
    <s v="Match"/>
  </r>
  <r>
    <s v="ORD1171"/>
    <d v="2024-05-12T00:00:00"/>
    <s v="CUST79"/>
    <x v="2"/>
    <s v="Clothing"/>
    <x v="17"/>
    <n v="3"/>
    <n v="771"/>
    <x v="171"/>
    <n v="2313"/>
    <s v="Match"/>
  </r>
  <r>
    <s v="ORD1172"/>
    <d v="2024-11-22T00:00:00"/>
    <s v="CUST84"/>
    <x v="0"/>
    <s v="Electronics"/>
    <x v="10"/>
    <n v="1"/>
    <n v="2582"/>
    <x v="172"/>
    <n v="2582"/>
    <s v="Match"/>
  </r>
  <r>
    <s v="ORD1173"/>
    <d v="2024-01-13T00:00:00"/>
    <s v="CUST104"/>
    <x v="1"/>
    <s v="Furniture"/>
    <x v="4"/>
    <n v="8"/>
    <n v="1445"/>
    <x v="173"/>
    <n v="11560"/>
    <s v="Match"/>
  </r>
  <r>
    <s v="ORD1174"/>
    <d v="2024-06-15T00:00:00"/>
    <s v="CUST16"/>
    <x v="1"/>
    <s v="Clothing"/>
    <x v="1"/>
    <n v="3"/>
    <n v="2284"/>
    <x v="174"/>
    <n v="6852"/>
    <s v="Match"/>
  </r>
  <r>
    <s v="ORD1175"/>
    <d v="2024-02-10T00:00:00"/>
    <s v="CUST144"/>
    <x v="3"/>
    <s v="Furniture"/>
    <x v="12"/>
    <n v="2"/>
    <n v="477"/>
    <x v="175"/>
    <n v="954"/>
    <s v="Match"/>
  </r>
  <r>
    <s v="ORD1176"/>
    <d v="2024-01-09T00:00:00"/>
    <s v="CUST1"/>
    <x v="0"/>
    <s v="Electronics"/>
    <x v="2"/>
    <n v="1"/>
    <n v="2087"/>
    <x v="176"/>
    <n v="2087"/>
    <s v="Match"/>
  </r>
  <r>
    <s v="ORD1177"/>
    <d v="2024-01-13T00:00:00"/>
    <s v="CUST134"/>
    <x v="0"/>
    <s v="Furniture"/>
    <x v="8"/>
    <n v="3"/>
    <n v="4779"/>
    <x v="177"/>
    <n v="14337"/>
    <s v="Match"/>
  </r>
  <r>
    <s v="ORD1178"/>
    <d v="2024-04-20T00:00:00"/>
    <s v="CUST43"/>
    <x v="2"/>
    <s v="Furniture"/>
    <x v="12"/>
    <n v="2"/>
    <n v="1465"/>
    <x v="178"/>
    <n v="2930"/>
    <s v="Match"/>
  </r>
  <r>
    <s v="ORD1179"/>
    <d v="2024-01-17T00:00:00"/>
    <s v="CUST148"/>
    <x v="0"/>
    <s v="Furniture"/>
    <x v="12"/>
    <n v="2"/>
    <n v="1240"/>
    <x v="179"/>
    <n v="2480"/>
    <s v="Match"/>
  </r>
  <r>
    <s v="ORD1180"/>
    <d v="2024-05-10T00:00:00"/>
    <s v="CUST41"/>
    <x v="2"/>
    <s v="Furniture"/>
    <x v="4"/>
    <n v="6"/>
    <n v="1117"/>
    <x v="180"/>
    <n v="6702"/>
    <s v="Match"/>
  </r>
  <r>
    <s v="ORD1181"/>
    <d v="2024-09-13T00:00:00"/>
    <s v="CUST14"/>
    <x v="0"/>
    <s v="Electronics"/>
    <x v="13"/>
    <n v="1"/>
    <n v="1085"/>
    <x v="181"/>
    <n v="1085"/>
    <s v="Match"/>
  </r>
  <r>
    <s v="ORD1182"/>
    <d v="2024-01-16T00:00:00"/>
    <s v="CUST26"/>
    <x v="3"/>
    <s v="Beauty"/>
    <x v="3"/>
    <n v="2"/>
    <n v="2952"/>
    <x v="182"/>
    <n v="5904"/>
    <s v="Match"/>
  </r>
  <r>
    <s v="ORD1183"/>
    <d v="2024-07-19T00:00:00"/>
    <s v="CUST140"/>
    <x v="0"/>
    <s v="Furniture"/>
    <x v="12"/>
    <n v="6"/>
    <n v="221"/>
    <x v="183"/>
    <n v="1326"/>
    <s v="Match"/>
  </r>
  <r>
    <s v="ORD1184"/>
    <d v="2024-07-17T00:00:00"/>
    <s v="CUST21"/>
    <x v="2"/>
    <s v="Furniture"/>
    <x v="12"/>
    <n v="3"/>
    <n v="4769"/>
    <x v="184"/>
    <n v="14307"/>
    <s v="Match"/>
  </r>
  <r>
    <s v="ORD1185"/>
    <d v="2024-08-05T00:00:00"/>
    <s v="CUST113"/>
    <x v="2"/>
    <s v="Clothing"/>
    <x v="17"/>
    <n v="4"/>
    <n v="3391"/>
    <x v="185"/>
    <n v="13564"/>
    <s v="Match"/>
  </r>
  <r>
    <s v="ORD1186"/>
    <d v="2024-10-07T00:00:00"/>
    <s v="CUST43"/>
    <x v="3"/>
    <s v="Furniture"/>
    <x v="11"/>
    <n v="1"/>
    <n v="2553"/>
    <x v="186"/>
    <n v="2553"/>
    <s v="Match"/>
  </r>
  <r>
    <s v="ORD1187"/>
    <d v="2024-06-24T00:00:00"/>
    <s v="CUST134"/>
    <x v="0"/>
    <s v="Clothing"/>
    <x v="16"/>
    <n v="8"/>
    <n v="4999"/>
    <x v="187"/>
    <n v="39992"/>
    <s v="Match"/>
  </r>
  <r>
    <s v="ORD1188"/>
    <d v="2024-12-05T00:00:00"/>
    <s v="CUST42"/>
    <x v="0"/>
    <s v="Beauty"/>
    <x v="0"/>
    <n v="7"/>
    <n v="886"/>
    <x v="188"/>
    <n v="6202"/>
    <s v="Match"/>
  </r>
  <r>
    <s v="ORD1189"/>
    <d v="2024-03-19T00:00:00"/>
    <s v="CUST51"/>
    <x v="3"/>
    <s v="Electronics"/>
    <x v="13"/>
    <n v="7"/>
    <n v="484"/>
    <x v="189"/>
    <n v="3388"/>
    <s v="Match"/>
  </r>
  <r>
    <s v="ORD1190"/>
    <d v="2024-09-13T00:00:00"/>
    <s v="CUST77"/>
    <x v="0"/>
    <s v="Electronics"/>
    <x v="10"/>
    <n v="3"/>
    <n v="3947"/>
    <x v="190"/>
    <n v="11841"/>
    <s v="Match"/>
  </r>
  <r>
    <s v="ORD1191"/>
    <d v="2024-05-05T00:00:00"/>
    <s v="CUST149"/>
    <x v="0"/>
    <s v="Beauty"/>
    <x v="0"/>
    <n v="3"/>
    <n v="962"/>
    <x v="191"/>
    <n v="2886"/>
    <s v="Match"/>
  </r>
  <r>
    <s v="ORD1192"/>
    <d v="2024-01-15T00:00:00"/>
    <s v="CUST130"/>
    <x v="2"/>
    <s v="Electronics"/>
    <x v="9"/>
    <n v="2"/>
    <n v="2628"/>
    <x v="192"/>
    <n v="5256"/>
    <s v="Match"/>
  </r>
  <r>
    <s v="ORD1193"/>
    <d v="2024-02-08T00:00:00"/>
    <s v="CUST144"/>
    <x v="0"/>
    <s v="Beauty"/>
    <x v="3"/>
    <n v="1"/>
    <n v="2707"/>
    <x v="193"/>
    <n v="2707"/>
    <s v="Match"/>
  </r>
  <r>
    <s v="ORD1194"/>
    <d v="2024-08-29T00:00:00"/>
    <s v="CUST25"/>
    <x v="0"/>
    <s v="Beauty"/>
    <x v="3"/>
    <n v="7"/>
    <n v="228"/>
    <x v="194"/>
    <n v="1596"/>
    <s v="Match"/>
  </r>
  <r>
    <s v="ORD1195"/>
    <d v="2024-06-04T00:00:00"/>
    <s v="CUST7"/>
    <x v="3"/>
    <s v="Beauty"/>
    <x v="19"/>
    <n v="7"/>
    <n v="1106"/>
    <x v="195"/>
    <n v="7742"/>
    <s v="Match"/>
  </r>
  <r>
    <s v="ORD1196"/>
    <d v="2024-09-29T00:00:00"/>
    <s v="CUST27"/>
    <x v="3"/>
    <s v="Electronics"/>
    <x v="10"/>
    <n v="2"/>
    <n v="3304"/>
    <x v="196"/>
    <n v="6608"/>
    <s v="Match"/>
  </r>
  <r>
    <s v="ORD1197"/>
    <d v="2024-06-22T00:00:00"/>
    <s v="CUST23"/>
    <x v="1"/>
    <s v="Clothing"/>
    <x v="1"/>
    <n v="7"/>
    <n v="4199"/>
    <x v="197"/>
    <n v="29393"/>
    <s v="Match"/>
  </r>
  <r>
    <s v="ORD1198"/>
    <d v="2024-03-29T00:00:00"/>
    <s v="CUST5"/>
    <x v="2"/>
    <s v="Beauty"/>
    <x v="14"/>
    <n v="8"/>
    <n v="3194"/>
    <x v="198"/>
    <n v="25552"/>
    <s v="Match"/>
  </r>
  <r>
    <s v="ORD1199"/>
    <d v="2024-06-12T00:00:00"/>
    <s v="CUST110"/>
    <x v="0"/>
    <s v="Furniture"/>
    <x v="6"/>
    <n v="1"/>
    <n v="2706"/>
    <x v="199"/>
    <n v="2706"/>
    <s v="Match"/>
  </r>
  <r>
    <s v="ORD1200"/>
    <d v="2024-03-03T00:00:00"/>
    <s v="CUST100"/>
    <x v="0"/>
    <s v="Electronics"/>
    <x v="18"/>
    <n v="9"/>
    <n v="4865"/>
    <x v="200"/>
    <n v="43785"/>
    <s v="Match"/>
  </r>
  <r>
    <s v="ORD1201"/>
    <d v="2024-03-20T00:00:00"/>
    <s v="CUST17"/>
    <x v="1"/>
    <s v="Beauty"/>
    <x v="14"/>
    <n v="7"/>
    <n v="3809"/>
    <x v="201"/>
    <n v="26663"/>
    <s v="Match"/>
  </r>
  <r>
    <s v="ORD1202"/>
    <d v="2024-08-26T00:00:00"/>
    <s v="CUST61"/>
    <x v="0"/>
    <s v="Beauty"/>
    <x v="14"/>
    <n v="3"/>
    <n v="3753"/>
    <x v="202"/>
    <n v="11259"/>
    <s v="Match"/>
  </r>
  <r>
    <s v="ORD1203"/>
    <d v="2024-05-06T00:00:00"/>
    <s v="CUST53"/>
    <x v="2"/>
    <s v="Furniture"/>
    <x v="4"/>
    <n v="8"/>
    <n v="1653"/>
    <x v="203"/>
    <n v="13224"/>
    <s v="Match"/>
  </r>
  <r>
    <s v="ORD1204"/>
    <d v="2024-06-13T00:00:00"/>
    <s v="CUST16"/>
    <x v="1"/>
    <s v="Clothing"/>
    <x v="16"/>
    <n v="7"/>
    <n v="3556"/>
    <x v="204"/>
    <n v="24892"/>
    <s v="Match"/>
  </r>
  <r>
    <s v="ORD1205"/>
    <d v="2024-09-07T00:00:00"/>
    <s v="CUST41"/>
    <x v="2"/>
    <s v="Clothing"/>
    <x v="17"/>
    <n v="8"/>
    <n v="715"/>
    <x v="205"/>
    <n v="5720"/>
    <s v="Match"/>
  </r>
  <r>
    <s v="ORD1206"/>
    <d v="2024-05-30T00:00:00"/>
    <s v="CUST42"/>
    <x v="1"/>
    <s v="Clothing"/>
    <x v="7"/>
    <n v="6"/>
    <n v="238"/>
    <x v="206"/>
    <n v="1428"/>
    <s v="Match"/>
  </r>
  <r>
    <s v="ORD1207"/>
    <d v="2024-10-01T00:00:00"/>
    <s v="CUST71"/>
    <x v="1"/>
    <s v="Beauty"/>
    <x v="0"/>
    <n v="9"/>
    <n v="3542"/>
    <x v="207"/>
    <n v="31878"/>
    <s v="Match"/>
  </r>
  <r>
    <s v="ORD1208"/>
    <d v="2024-07-12T00:00:00"/>
    <s v="CUST139"/>
    <x v="3"/>
    <s v="Beauty"/>
    <x v="19"/>
    <n v="5"/>
    <n v="1086"/>
    <x v="208"/>
    <n v="5430"/>
    <s v="Match"/>
  </r>
  <r>
    <s v="ORD1209"/>
    <d v="2024-11-06T00:00:00"/>
    <s v="CUST49"/>
    <x v="2"/>
    <s v="Beauty"/>
    <x v="3"/>
    <n v="3"/>
    <n v="3044"/>
    <x v="209"/>
    <n v="9132"/>
    <s v="Match"/>
  </r>
  <r>
    <s v="ORD1210"/>
    <d v="2024-01-01T00:00:00"/>
    <s v="CUST147"/>
    <x v="0"/>
    <s v="Electronics"/>
    <x v="9"/>
    <n v="3"/>
    <n v="2404"/>
    <x v="210"/>
    <n v="7212"/>
    <s v="Match"/>
  </r>
  <r>
    <s v="ORD1211"/>
    <d v="2024-10-09T00:00:00"/>
    <s v="CUST97"/>
    <x v="0"/>
    <s v="Furniture"/>
    <x v="8"/>
    <n v="1"/>
    <n v="1298"/>
    <x v="211"/>
    <n v="1298"/>
    <s v="Match"/>
  </r>
  <r>
    <s v="ORD1212"/>
    <d v="2024-09-19T00:00:00"/>
    <s v="CUST97"/>
    <x v="2"/>
    <s v="Beauty"/>
    <x v="0"/>
    <n v="8"/>
    <n v="2023"/>
    <x v="212"/>
    <n v="16184"/>
    <s v="Match"/>
  </r>
  <r>
    <s v="ORD1213"/>
    <d v="2024-10-08T00:00:00"/>
    <s v="CUST104"/>
    <x v="0"/>
    <s v="Furniture"/>
    <x v="12"/>
    <n v="2"/>
    <n v="3401"/>
    <x v="213"/>
    <n v="6802"/>
    <s v="Match"/>
  </r>
  <r>
    <s v="ORD1214"/>
    <d v="2024-08-03T00:00:00"/>
    <s v="CUST33"/>
    <x v="0"/>
    <s v="Furniture"/>
    <x v="12"/>
    <n v="3"/>
    <n v="3355"/>
    <x v="214"/>
    <n v="10065"/>
    <s v="Match"/>
  </r>
  <r>
    <s v="ORD1215"/>
    <d v="2024-09-16T00:00:00"/>
    <s v="CUST91"/>
    <x v="2"/>
    <s v="Clothing"/>
    <x v="17"/>
    <n v="8"/>
    <n v="3293"/>
    <x v="215"/>
    <n v="26344"/>
    <s v="Match"/>
  </r>
  <r>
    <s v="ORD1216"/>
    <d v="2024-08-17T00:00:00"/>
    <s v="CUST28"/>
    <x v="1"/>
    <s v="Electronics"/>
    <x v="9"/>
    <n v="8"/>
    <n v="3730"/>
    <x v="216"/>
    <n v="29840"/>
    <s v="Match"/>
  </r>
  <r>
    <s v="ORD1217"/>
    <d v="2024-06-06T00:00:00"/>
    <s v="CUST48"/>
    <x v="2"/>
    <s v="Beauty"/>
    <x v="5"/>
    <n v="4"/>
    <n v="3978"/>
    <x v="217"/>
    <n v="15912"/>
    <s v="Match"/>
  </r>
  <r>
    <s v="ORD1218"/>
    <d v="2024-08-28T00:00:00"/>
    <s v="CUST126"/>
    <x v="1"/>
    <s v="Clothing"/>
    <x v="7"/>
    <n v="4"/>
    <n v="3096"/>
    <x v="218"/>
    <n v="12384"/>
    <s v="Match"/>
  </r>
  <r>
    <s v="ORD1219"/>
    <d v="2024-04-10T00:00:00"/>
    <s v="CUST8"/>
    <x v="0"/>
    <s v="Clothing"/>
    <x v="17"/>
    <n v="5"/>
    <n v="3653"/>
    <x v="219"/>
    <n v="18265"/>
    <s v="Match"/>
  </r>
  <r>
    <s v="ORD1220"/>
    <d v="2024-01-31T00:00:00"/>
    <s v="CUST71"/>
    <x v="0"/>
    <s v="Beauty"/>
    <x v="14"/>
    <n v="6"/>
    <n v="3711"/>
    <x v="220"/>
    <n v="22266"/>
    <s v="Match"/>
  </r>
  <r>
    <s v="ORD1221"/>
    <d v="2024-11-30T00:00:00"/>
    <s v="CUST100"/>
    <x v="0"/>
    <s v="Furniture"/>
    <x v="11"/>
    <n v="5"/>
    <n v="1188"/>
    <x v="221"/>
    <n v="5940"/>
    <s v="Match"/>
  </r>
  <r>
    <s v="ORD1222"/>
    <d v="2024-04-04T00:00:00"/>
    <s v="CUST31"/>
    <x v="3"/>
    <s v="Clothing"/>
    <x v="17"/>
    <n v="7"/>
    <n v="4316"/>
    <x v="222"/>
    <n v="30212"/>
    <s v="Match"/>
  </r>
  <r>
    <s v="ORD1223"/>
    <d v="2024-05-27T00:00:00"/>
    <s v="CUST16"/>
    <x v="1"/>
    <s v="Furniture"/>
    <x v="4"/>
    <n v="2"/>
    <n v="4226"/>
    <x v="223"/>
    <n v="8452"/>
    <s v="Match"/>
  </r>
  <r>
    <s v="ORD1224"/>
    <d v="2024-09-23T00:00:00"/>
    <s v="CUST78"/>
    <x v="3"/>
    <s v="Electronics"/>
    <x v="9"/>
    <n v="7"/>
    <n v="4379"/>
    <x v="224"/>
    <n v="30653"/>
    <s v="Match"/>
  </r>
  <r>
    <s v="ORD1225"/>
    <d v="2024-11-23T00:00:00"/>
    <s v="CUST76"/>
    <x v="3"/>
    <s v="Furniture"/>
    <x v="11"/>
    <n v="7"/>
    <n v="1882"/>
    <x v="225"/>
    <n v="13174"/>
    <s v="Match"/>
  </r>
  <r>
    <s v="ORD1226"/>
    <d v="2024-10-17T00:00:00"/>
    <s v="CUST9"/>
    <x v="2"/>
    <s v="Electronics"/>
    <x v="2"/>
    <n v="1"/>
    <n v="4865"/>
    <x v="226"/>
    <n v="4865"/>
    <s v="Match"/>
  </r>
  <r>
    <s v="ORD1227"/>
    <d v="2024-10-23T00:00:00"/>
    <s v="CUST61"/>
    <x v="3"/>
    <s v="Furniture"/>
    <x v="8"/>
    <n v="7"/>
    <n v="4163"/>
    <x v="227"/>
    <n v="29141"/>
    <s v="Match"/>
  </r>
  <r>
    <s v="ORD1228"/>
    <d v="2024-01-13T00:00:00"/>
    <s v="CUST86"/>
    <x v="2"/>
    <s v="Clothing"/>
    <x v="1"/>
    <n v="5"/>
    <n v="1133"/>
    <x v="228"/>
    <n v="5665"/>
    <s v="Match"/>
  </r>
  <r>
    <s v="ORD1229"/>
    <d v="2024-05-17T00:00:00"/>
    <s v="CUST140"/>
    <x v="2"/>
    <s v="Clothing"/>
    <x v="7"/>
    <n v="3"/>
    <n v="3798"/>
    <x v="229"/>
    <n v="11394"/>
    <s v="Match"/>
  </r>
  <r>
    <s v="ORD1230"/>
    <d v="2024-08-02T00:00:00"/>
    <s v="CUST58"/>
    <x v="3"/>
    <s v="Electronics"/>
    <x v="18"/>
    <n v="3"/>
    <n v="3433"/>
    <x v="230"/>
    <n v="10299"/>
    <s v="Match"/>
  </r>
  <r>
    <s v="ORD1231"/>
    <d v="2024-05-09T00:00:00"/>
    <s v="CUST121"/>
    <x v="1"/>
    <s v="Beauty"/>
    <x v="5"/>
    <n v="4"/>
    <n v="2180"/>
    <x v="231"/>
    <n v="8720"/>
    <s v="Match"/>
  </r>
  <r>
    <s v="ORD1232"/>
    <d v="2024-03-08T00:00:00"/>
    <s v="CUST30"/>
    <x v="1"/>
    <s v="Electronics"/>
    <x v="10"/>
    <n v="2"/>
    <n v="2055"/>
    <x v="232"/>
    <n v="4110"/>
    <s v="Match"/>
  </r>
  <r>
    <s v="ORD1233"/>
    <d v="2024-04-09T00:00:00"/>
    <s v="CUST69"/>
    <x v="1"/>
    <s v="Electronics"/>
    <x v="13"/>
    <n v="2"/>
    <n v="3256"/>
    <x v="233"/>
    <n v="6512"/>
    <s v="Match"/>
  </r>
  <r>
    <s v="ORD1234"/>
    <d v="2024-05-14T00:00:00"/>
    <s v="CUST72"/>
    <x v="1"/>
    <s v="Furniture"/>
    <x v="12"/>
    <n v="1"/>
    <n v="992"/>
    <x v="234"/>
    <n v="992"/>
    <s v="Match"/>
  </r>
  <r>
    <s v="ORD1235"/>
    <d v="2024-03-04T00:00:00"/>
    <s v="CUST74"/>
    <x v="1"/>
    <s v="Furniture"/>
    <x v="6"/>
    <n v="5"/>
    <n v="991"/>
    <x v="235"/>
    <n v="4955"/>
    <s v="Match"/>
  </r>
  <r>
    <s v="ORD1236"/>
    <d v="2024-02-20T00:00:00"/>
    <s v="CUST31"/>
    <x v="3"/>
    <s v="Electronics"/>
    <x v="18"/>
    <n v="4"/>
    <n v="2009"/>
    <x v="236"/>
    <n v="8036"/>
    <s v="Match"/>
  </r>
  <r>
    <s v="ORD1237"/>
    <d v="2024-07-19T00:00:00"/>
    <s v="CUST106"/>
    <x v="3"/>
    <s v="Clothing"/>
    <x v="1"/>
    <n v="2"/>
    <n v="2455"/>
    <x v="237"/>
    <n v="4910"/>
    <s v="Match"/>
  </r>
  <r>
    <s v="ORD1238"/>
    <d v="2024-01-27T00:00:00"/>
    <s v="CUST80"/>
    <x v="0"/>
    <s v="Furniture"/>
    <x v="11"/>
    <n v="3"/>
    <n v="3810"/>
    <x v="238"/>
    <n v="11430"/>
    <s v="Match"/>
  </r>
  <r>
    <s v="ORD1239"/>
    <d v="2024-03-17T00:00:00"/>
    <s v="CUST143"/>
    <x v="1"/>
    <s v="Beauty"/>
    <x v="0"/>
    <n v="7"/>
    <n v="1807"/>
    <x v="239"/>
    <n v="12649"/>
    <s v="Match"/>
  </r>
  <r>
    <s v="ORD1240"/>
    <d v="2024-10-09T00:00:00"/>
    <s v="CUST37"/>
    <x v="3"/>
    <s v="Furniture"/>
    <x v="6"/>
    <n v="7"/>
    <n v="1184"/>
    <x v="240"/>
    <n v="8288"/>
    <s v="Match"/>
  </r>
  <r>
    <s v="ORD1241"/>
    <d v="2024-03-30T00:00:00"/>
    <s v="CUST5"/>
    <x v="0"/>
    <s v="Furniture"/>
    <x v="6"/>
    <n v="4"/>
    <n v="3876"/>
    <x v="241"/>
    <n v="15504"/>
    <s v="Match"/>
  </r>
  <r>
    <s v="ORD1242"/>
    <d v="2024-02-01T00:00:00"/>
    <s v="CUST81"/>
    <x v="1"/>
    <s v="Beauty"/>
    <x v="3"/>
    <n v="5"/>
    <n v="3580"/>
    <x v="242"/>
    <n v="17900"/>
    <s v="Match"/>
  </r>
  <r>
    <s v="ORD1243"/>
    <d v="2024-08-03T00:00:00"/>
    <s v="CUST141"/>
    <x v="2"/>
    <s v="Electronics"/>
    <x v="18"/>
    <n v="5"/>
    <n v="719"/>
    <x v="243"/>
    <n v="3595"/>
    <s v="Match"/>
  </r>
  <r>
    <s v="ORD1244"/>
    <d v="2024-05-17T00:00:00"/>
    <s v="CUST23"/>
    <x v="0"/>
    <s v="Beauty"/>
    <x v="3"/>
    <n v="6"/>
    <n v="790"/>
    <x v="244"/>
    <n v="4740"/>
    <s v="Match"/>
  </r>
  <r>
    <s v="ORD1245"/>
    <d v="2024-10-31T00:00:00"/>
    <s v="CUST136"/>
    <x v="3"/>
    <s v="Electronics"/>
    <x v="18"/>
    <n v="9"/>
    <n v="1250"/>
    <x v="245"/>
    <n v="11250"/>
    <s v="Match"/>
  </r>
  <r>
    <s v="ORD1246"/>
    <d v="2024-10-06T00:00:00"/>
    <s v="CUST38"/>
    <x v="2"/>
    <s v="Electronics"/>
    <x v="13"/>
    <n v="2"/>
    <n v="3833"/>
    <x v="246"/>
    <n v="7666"/>
    <s v="Match"/>
  </r>
  <r>
    <s v="ORD1247"/>
    <d v="2024-01-08T00:00:00"/>
    <s v="CUST34"/>
    <x v="2"/>
    <s v="Electronics"/>
    <x v="9"/>
    <n v="5"/>
    <n v="4644"/>
    <x v="247"/>
    <n v="23220"/>
    <s v="Match"/>
  </r>
  <r>
    <s v="ORD1248"/>
    <d v="2024-05-06T00:00:00"/>
    <s v="CUST138"/>
    <x v="2"/>
    <s v="Beauty"/>
    <x v="5"/>
    <n v="3"/>
    <n v="1159"/>
    <x v="248"/>
    <n v="3477"/>
    <s v="Match"/>
  </r>
  <r>
    <s v="ORD1249"/>
    <d v="2024-02-05T00:00:00"/>
    <s v="CUST49"/>
    <x v="0"/>
    <s v="Electronics"/>
    <x v="9"/>
    <n v="4"/>
    <n v="892"/>
    <x v="249"/>
    <n v="3568"/>
    <s v="Match"/>
  </r>
  <r>
    <s v="ORD1250"/>
    <d v="2024-10-25T00:00:00"/>
    <s v="CUST94"/>
    <x v="3"/>
    <s v="Clothing"/>
    <x v="16"/>
    <n v="6"/>
    <n v="4099"/>
    <x v="250"/>
    <n v="24594"/>
    <s v="Match"/>
  </r>
  <r>
    <s v="ORD1251"/>
    <d v="2024-11-02T00:00:00"/>
    <s v="CUST114"/>
    <x v="2"/>
    <s v="Beauty"/>
    <x v="0"/>
    <n v="8"/>
    <n v="4673"/>
    <x v="251"/>
    <n v="37384"/>
    <s v="Match"/>
  </r>
  <r>
    <s v="ORD1252"/>
    <d v="2024-09-26T00:00:00"/>
    <s v="CUST144"/>
    <x v="1"/>
    <s v="Clothing"/>
    <x v="16"/>
    <n v="1"/>
    <n v="3146"/>
    <x v="252"/>
    <n v="3146"/>
    <s v="Match"/>
  </r>
  <r>
    <s v="ORD1253"/>
    <d v="2024-01-05T00:00:00"/>
    <s v="CUST37"/>
    <x v="2"/>
    <s v="Electronics"/>
    <x v="2"/>
    <n v="8"/>
    <n v="726"/>
    <x v="253"/>
    <n v="5808"/>
    <s v="Match"/>
  </r>
  <r>
    <s v="ORD1254"/>
    <d v="2024-08-01T00:00:00"/>
    <s v="CUST8"/>
    <x v="2"/>
    <s v="Furniture"/>
    <x v="6"/>
    <n v="7"/>
    <n v="3424"/>
    <x v="254"/>
    <n v="23968"/>
    <s v="Match"/>
  </r>
  <r>
    <s v="ORD1255"/>
    <d v="2024-06-20T00:00:00"/>
    <s v="CUST43"/>
    <x v="0"/>
    <s v="Electronics"/>
    <x v="10"/>
    <n v="1"/>
    <n v="2453"/>
    <x v="255"/>
    <n v="2453"/>
    <s v="Match"/>
  </r>
  <r>
    <s v="ORD1256"/>
    <d v="2024-12-24T00:00:00"/>
    <s v="CUST63"/>
    <x v="0"/>
    <s v="Clothing"/>
    <x v="16"/>
    <n v="2"/>
    <n v="3544"/>
    <x v="256"/>
    <n v="7088"/>
    <s v="Match"/>
  </r>
  <r>
    <s v="ORD1257"/>
    <d v="2024-11-09T00:00:00"/>
    <s v="CUST141"/>
    <x v="3"/>
    <s v="Clothing"/>
    <x v="16"/>
    <n v="3"/>
    <n v="4165"/>
    <x v="257"/>
    <n v="12495"/>
    <s v="Match"/>
  </r>
  <r>
    <s v="ORD1258"/>
    <d v="2024-10-15T00:00:00"/>
    <s v="CUST78"/>
    <x v="1"/>
    <s v="Beauty"/>
    <x v="5"/>
    <n v="1"/>
    <n v="2075"/>
    <x v="258"/>
    <n v="2075"/>
    <s v="Match"/>
  </r>
  <r>
    <s v="ORD1259"/>
    <d v="2024-08-26T00:00:00"/>
    <s v="CUST116"/>
    <x v="0"/>
    <s v="Furniture"/>
    <x v="12"/>
    <n v="9"/>
    <n v="1963"/>
    <x v="259"/>
    <n v="17667"/>
    <s v="Match"/>
  </r>
  <r>
    <s v="ORD1260"/>
    <d v="2024-08-27T00:00:00"/>
    <s v="CUST144"/>
    <x v="2"/>
    <s v="Beauty"/>
    <x v="14"/>
    <n v="8"/>
    <n v="720"/>
    <x v="260"/>
    <n v="5760"/>
    <s v="Match"/>
  </r>
  <r>
    <s v="ORD1261"/>
    <d v="2024-05-05T00:00:00"/>
    <s v="CUST14"/>
    <x v="3"/>
    <s v="Clothing"/>
    <x v="15"/>
    <n v="2"/>
    <n v="1216"/>
    <x v="261"/>
    <n v="2432"/>
    <s v="Match"/>
  </r>
  <r>
    <s v="ORD1262"/>
    <d v="2024-05-08T00:00:00"/>
    <s v="CUST128"/>
    <x v="2"/>
    <s v="Electronics"/>
    <x v="18"/>
    <n v="9"/>
    <n v="316"/>
    <x v="262"/>
    <n v="2844"/>
    <s v="Match"/>
  </r>
  <r>
    <s v="ORD1263"/>
    <d v="2024-07-16T00:00:00"/>
    <s v="CUST19"/>
    <x v="2"/>
    <s v="Furniture"/>
    <x v="4"/>
    <n v="7"/>
    <n v="2633"/>
    <x v="263"/>
    <n v="18431"/>
    <s v="Match"/>
  </r>
  <r>
    <s v="ORD1264"/>
    <d v="2024-06-19T00:00:00"/>
    <s v="CUST79"/>
    <x v="0"/>
    <s v="Electronics"/>
    <x v="9"/>
    <n v="9"/>
    <n v="783"/>
    <x v="264"/>
    <n v="7047"/>
    <s v="Match"/>
  </r>
  <r>
    <s v="ORD1265"/>
    <d v="2024-05-25T00:00:00"/>
    <s v="CUST76"/>
    <x v="3"/>
    <s v="Electronics"/>
    <x v="13"/>
    <n v="6"/>
    <n v="594"/>
    <x v="265"/>
    <n v="3564"/>
    <s v="Match"/>
  </r>
  <r>
    <s v="ORD1266"/>
    <d v="2024-05-06T00:00:00"/>
    <s v="CUST22"/>
    <x v="1"/>
    <s v="Furniture"/>
    <x v="12"/>
    <n v="6"/>
    <n v="3988"/>
    <x v="266"/>
    <n v="23928"/>
    <s v="Match"/>
  </r>
  <r>
    <s v="ORD1267"/>
    <d v="2024-03-02T00:00:00"/>
    <s v="CUST145"/>
    <x v="1"/>
    <s v="Beauty"/>
    <x v="14"/>
    <n v="4"/>
    <n v="2968"/>
    <x v="267"/>
    <n v="11872"/>
    <s v="Match"/>
  </r>
  <r>
    <s v="ORD1268"/>
    <d v="2024-06-23T00:00:00"/>
    <s v="CUST90"/>
    <x v="0"/>
    <s v="Electronics"/>
    <x v="2"/>
    <n v="2"/>
    <n v="4367"/>
    <x v="268"/>
    <n v="8734"/>
    <s v="Match"/>
  </r>
  <r>
    <s v="ORD1269"/>
    <d v="2024-01-27T00:00:00"/>
    <s v="CUST16"/>
    <x v="0"/>
    <s v="Clothing"/>
    <x v="17"/>
    <n v="7"/>
    <n v="4060"/>
    <x v="269"/>
    <n v="28420"/>
    <s v="Match"/>
  </r>
  <r>
    <s v="ORD1270"/>
    <d v="2024-09-11T00:00:00"/>
    <s v="CUST28"/>
    <x v="3"/>
    <s v="Electronics"/>
    <x v="13"/>
    <n v="5"/>
    <n v="473"/>
    <x v="270"/>
    <n v="2365"/>
    <s v="Match"/>
  </r>
  <r>
    <s v="ORD1271"/>
    <d v="2024-10-22T00:00:00"/>
    <s v="CUST73"/>
    <x v="1"/>
    <s v="Furniture"/>
    <x v="12"/>
    <n v="6"/>
    <n v="2213"/>
    <x v="271"/>
    <n v="13278"/>
    <s v="Match"/>
  </r>
  <r>
    <s v="ORD1272"/>
    <d v="2024-06-10T00:00:00"/>
    <s v="CUST148"/>
    <x v="1"/>
    <s v="Furniture"/>
    <x v="8"/>
    <n v="2"/>
    <n v="4633"/>
    <x v="272"/>
    <n v="9266"/>
    <s v="Match"/>
  </r>
  <r>
    <s v="ORD1273"/>
    <d v="2024-09-18T00:00:00"/>
    <s v="CUST84"/>
    <x v="1"/>
    <s v="Furniture"/>
    <x v="12"/>
    <n v="5"/>
    <n v="1589"/>
    <x v="273"/>
    <n v="7945"/>
    <s v="Match"/>
  </r>
  <r>
    <s v="ORD1274"/>
    <d v="2024-11-07T00:00:00"/>
    <s v="CUST6"/>
    <x v="2"/>
    <s v="Beauty"/>
    <x v="0"/>
    <n v="4"/>
    <n v="3766"/>
    <x v="274"/>
    <n v="15064"/>
    <s v="Match"/>
  </r>
  <r>
    <s v="ORD1275"/>
    <d v="2024-04-17T00:00:00"/>
    <s v="CUST27"/>
    <x v="1"/>
    <s v="Electronics"/>
    <x v="2"/>
    <n v="9"/>
    <n v="4902"/>
    <x v="275"/>
    <n v="44118"/>
    <s v="Match"/>
  </r>
  <r>
    <s v="ORD1276"/>
    <d v="2024-08-25T00:00:00"/>
    <s v="CUST146"/>
    <x v="2"/>
    <s v="Beauty"/>
    <x v="14"/>
    <n v="6"/>
    <n v="365"/>
    <x v="276"/>
    <n v="2190"/>
    <s v="Match"/>
  </r>
  <r>
    <s v="ORD1277"/>
    <d v="2024-02-09T00:00:00"/>
    <s v="CUST115"/>
    <x v="3"/>
    <s v="Beauty"/>
    <x v="14"/>
    <n v="2"/>
    <n v="1767"/>
    <x v="277"/>
    <n v="3534"/>
    <s v="Match"/>
  </r>
  <r>
    <s v="ORD1278"/>
    <d v="2024-01-24T00:00:00"/>
    <s v="CUST90"/>
    <x v="2"/>
    <s v="Furniture"/>
    <x v="8"/>
    <n v="1"/>
    <n v="928"/>
    <x v="278"/>
    <n v="928"/>
    <s v="Match"/>
  </r>
  <r>
    <s v="ORD1279"/>
    <d v="2024-03-10T00:00:00"/>
    <s v="CUST143"/>
    <x v="3"/>
    <s v="Furniture"/>
    <x v="11"/>
    <n v="5"/>
    <n v="2243"/>
    <x v="279"/>
    <n v="11215"/>
    <s v="Match"/>
  </r>
  <r>
    <s v="ORD1280"/>
    <d v="2024-06-27T00:00:00"/>
    <s v="CUST67"/>
    <x v="1"/>
    <s v="Beauty"/>
    <x v="3"/>
    <n v="9"/>
    <n v="4397"/>
    <x v="280"/>
    <n v="39573"/>
    <s v="Match"/>
  </r>
  <r>
    <s v="ORD1281"/>
    <d v="2024-08-13T00:00:00"/>
    <s v="CUST77"/>
    <x v="1"/>
    <s v="Electronics"/>
    <x v="9"/>
    <n v="6"/>
    <n v="3696"/>
    <x v="281"/>
    <n v="22176"/>
    <s v="Match"/>
  </r>
  <r>
    <s v="ORD1282"/>
    <d v="2024-01-23T00:00:00"/>
    <s v="CUST42"/>
    <x v="3"/>
    <s v="Clothing"/>
    <x v="1"/>
    <n v="7"/>
    <n v="978"/>
    <x v="282"/>
    <n v="6846"/>
    <s v="Match"/>
  </r>
  <r>
    <s v="ORD1283"/>
    <d v="2024-04-13T00:00:00"/>
    <s v="CUST85"/>
    <x v="0"/>
    <s v="Beauty"/>
    <x v="14"/>
    <n v="5"/>
    <n v="413"/>
    <x v="283"/>
    <n v="2065"/>
    <s v="Match"/>
  </r>
  <r>
    <s v="ORD1284"/>
    <d v="2024-10-16T00:00:00"/>
    <s v="CUST60"/>
    <x v="3"/>
    <s v="Electronics"/>
    <x v="10"/>
    <n v="6"/>
    <n v="3962"/>
    <x v="284"/>
    <n v="23772"/>
    <s v="Match"/>
  </r>
  <r>
    <s v="ORD1285"/>
    <d v="2024-02-24T00:00:00"/>
    <s v="CUST69"/>
    <x v="0"/>
    <s v="Furniture"/>
    <x v="8"/>
    <n v="5"/>
    <n v="1776"/>
    <x v="285"/>
    <n v="8880"/>
    <s v="Match"/>
  </r>
  <r>
    <s v="ORD1286"/>
    <d v="2024-07-13T00:00:00"/>
    <s v="CUST24"/>
    <x v="2"/>
    <s v="Furniture"/>
    <x v="4"/>
    <n v="9"/>
    <n v="2648"/>
    <x v="286"/>
    <n v="23832"/>
    <s v="Match"/>
  </r>
  <r>
    <s v="ORD1287"/>
    <d v="2024-04-02T00:00:00"/>
    <s v="CUST73"/>
    <x v="2"/>
    <s v="Electronics"/>
    <x v="13"/>
    <n v="6"/>
    <n v="3136"/>
    <x v="287"/>
    <n v="18816"/>
    <s v="Match"/>
  </r>
  <r>
    <s v="ORD1288"/>
    <d v="2024-10-07T00:00:00"/>
    <s v="CUST17"/>
    <x v="2"/>
    <s v="Clothing"/>
    <x v="1"/>
    <n v="8"/>
    <n v="3317"/>
    <x v="288"/>
    <n v="26536"/>
    <s v="Match"/>
  </r>
  <r>
    <s v="ORD1289"/>
    <d v="2024-12-01T00:00:00"/>
    <s v="CUST44"/>
    <x v="1"/>
    <s v="Furniture"/>
    <x v="11"/>
    <n v="2"/>
    <n v="791"/>
    <x v="289"/>
    <n v="1582"/>
    <s v="Match"/>
  </r>
  <r>
    <s v="ORD1290"/>
    <d v="2024-01-13T00:00:00"/>
    <s v="CUST57"/>
    <x v="2"/>
    <s v="Furniture"/>
    <x v="6"/>
    <n v="9"/>
    <n v="2920"/>
    <x v="290"/>
    <n v="26280"/>
    <s v="Match"/>
  </r>
  <r>
    <s v="ORD1291"/>
    <d v="2024-05-31T00:00:00"/>
    <s v="CUST70"/>
    <x v="0"/>
    <s v="Furniture"/>
    <x v="8"/>
    <n v="5"/>
    <n v="913"/>
    <x v="291"/>
    <n v="4565"/>
    <s v="Match"/>
  </r>
  <r>
    <s v="ORD1292"/>
    <d v="2024-12-18T00:00:00"/>
    <s v="CUST105"/>
    <x v="2"/>
    <s v="Electronics"/>
    <x v="10"/>
    <n v="7"/>
    <n v="1135"/>
    <x v="273"/>
    <n v="7945"/>
    <s v="Match"/>
  </r>
  <r>
    <s v="ORD1293"/>
    <d v="2024-10-17T00:00:00"/>
    <s v="CUST82"/>
    <x v="3"/>
    <s v="Beauty"/>
    <x v="5"/>
    <n v="1"/>
    <n v="4537"/>
    <x v="292"/>
    <n v="4537"/>
    <s v="Match"/>
  </r>
  <r>
    <s v="ORD1294"/>
    <d v="2024-11-15T00:00:00"/>
    <s v="CUST41"/>
    <x v="3"/>
    <s v="Furniture"/>
    <x v="12"/>
    <n v="5"/>
    <n v="201"/>
    <x v="293"/>
    <n v="1005"/>
    <s v="Match"/>
  </r>
  <r>
    <s v="ORD1295"/>
    <d v="2024-06-25T00:00:00"/>
    <s v="CUST149"/>
    <x v="1"/>
    <s v="Beauty"/>
    <x v="19"/>
    <n v="2"/>
    <n v="3048"/>
    <x v="115"/>
    <n v="6096"/>
    <s v="Match"/>
  </r>
  <r>
    <s v="ORD1296"/>
    <d v="2024-01-17T00:00:00"/>
    <s v="CUST117"/>
    <x v="3"/>
    <s v="Clothing"/>
    <x v="17"/>
    <n v="6"/>
    <n v="4244"/>
    <x v="294"/>
    <n v="25464"/>
    <s v="Match"/>
  </r>
  <r>
    <s v="ORD1297"/>
    <d v="2024-05-10T00:00:00"/>
    <s v="CUST41"/>
    <x v="0"/>
    <s v="Furniture"/>
    <x v="6"/>
    <n v="1"/>
    <n v="2149"/>
    <x v="295"/>
    <n v="2149"/>
    <s v="Match"/>
  </r>
  <r>
    <s v="ORD1298"/>
    <d v="2024-09-13T00:00:00"/>
    <s v="CUST113"/>
    <x v="2"/>
    <s v="Furniture"/>
    <x v="11"/>
    <n v="3"/>
    <n v="1117"/>
    <x v="296"/>
    <n v="3351"/>
    <s v="Match"/>
  </r>
  <r>
    <s v="ORD1299"/>
    <d v="2024-12-30T00:00:00"/>
    <s v="CUST131"/>
    <x v="1"/>
    <s v="Clothing"/>
    <x v="15"/>
    <n v="5"/>
    <n v="3374"/>
    <x v="297"/>
    <n v="16870"/>
    <s v="Match"/>
  </r>
  <r>
    <s v="ORD1300"/>
    <d v="2024-04-13T00:00:00"/>
    <s v="CUST69"/>
    <x v="2"/>
    <s v="Furniture"/>
    <x v="11"/>
    <n v="4"/>
    <n v="2441"/>
    <x v="298"/>
    <n v="9764"/>
    <s v="Match"/>
  </r>
  <r>
    <s v="ORD1301"/>
    <d v="2024-10-14T00:00:00"/>
    <s v="CUST32"/>
    <x v="2"/>
    <s v="Beauty"/>
    <x v="5"/>
    <n v="3"/>
    <n v="289"/>
    <x v="299"/>
    <n v="867"/>
    <s v="Match"/>
  </r>
  <r>
    <s v="ORD1302"/>
    <d v="2024-04-01T00:00:00"/>
    <s v="CUST20"/>
    <x v="0"/>
    <s v="Electronics"/>
    <x v="9"/>
    <n v="5"/>
    <n v="1909"/>
    <x v="300"/>
    <n v="9545"/>
    <s v="Match"/>
  </r>
  <r>
    <s v="ORD1303"/>
    <d v="2024-06-20T00:00:00"/>
    <s v="CUST33"/>
    <x v="3"/>
    <s v="Beauty"/>
    <x v="5"/>
    <n v="8"/>
    <n v="2369"/>
    <x v="301"/>
    <n v="18952"/>
    <s v="Match"/>
  </r>
  <r>
    <s v="ORD1304"/>
    <d v="2024-07-09T00:00:00"/>
    <s v="CUST70"/>
    <x v="3"/>
    <s v="Electronics"/>
    <x v="9"/>
    <n v="4"/>
    <n v="4438"/>
    <x v="302"/>
    <n v="17752"/>
    <s v="Match"/>
  </r>
  <r>
    <s v="ORD1305"/>
    <d v="2024-02-22T00:00:00"/>
    <s v="CUST103"/>
    <x v="2"/>
    <s v="Electronics"/>
    <x v="2"/>
    <n v="1"/>
    <n v="3241"/>
    <x v="303"/>
    <n v="3241"/>
    <s v="Match"/>
  </r>
  <r>
    <s v="ORD1306"/>
    <d v="2024-02-03T00:00:00"/>
    <s v="CUST87"/>
    <x v="1"/>
    <s v="Beauty"/>
    <x v="3"/>
    <n v="7"/>
    <n v="305"/>
    <x v="304"/>
    <n v="2135"/>
    <s v="Match"/>
  </r>
  <r>
    <s v="ORD1307"/>
    <d v="2024-01-24T00:00:00"/>
    <s v="CUST124"/>
    <x v="3"/>
    <s v="Beauty"/>
    <x v="14"/>
    <n v="8"/>
    <n v="1086"/>
    <x v="305"/>
    <n v="8688"/>
    <s v="Match"/>
  </r>
  <r>
    <s v="ORD1308"/>
    <d v="2024-01-01T00:00:00"/>
    <s v="CUST60"/>
    <x v="1"/>
    <s v="Beauty"/>
    <x v="14"/>
    <n v="3"/>
    <n v="627"/>
    <x v="306"/>
    <n v="1881"/>
    <s v="Match"/>
  </r>
  <r>
    <s v="ORD1309"/>
    <d v="2024-03-30T00:00:00"/>
    <s v="CUST3"/>
    <x v="3"/>
    <s v="Beauty"/>
    <x v="5"/>
    <n v="6"/>
    <n v="2095"/>
    <x v="307"/>
    <n v="12570"/>
    <s v="Match"/>
  </r>
  <r>
    <s v="ORD1310"/>
    <d v="2024-05-08T00:00:00"/>
    <s v="CUST85"/>
    <x v="1"/>
    <s v="Clothing"/>
    <x v="16"/>
    <n v="2"/>
    <n v="516"/>
    <x v="308"/>
    <n v="1032"/>
    <s v="Match"/>
  </r>
  <r>
    <s v="ORD1311"/>
    <d v="2024-03-14T00:00:00"/>
    <s v="CUST48"/>
    <x v="0"/>
    <s v="Furniture"/>
    <x v="8"/>
    <n v="7"/>
    <n v="834"/>
    <x v="309"/>
    <n v="5838"/>
    <s v="Match"/>
  </r>
  <r>
    <s v="ORD1312"/>
    <d v="2024-10-01T00:00:00"/>
    <s v="CUST70"/>
    <x v="1"/>
    <s v="Electronics"/>
    <x v="13"/>
    <n v="8"/>
    <n v="2125"/>
    <x v="310"/>
    <n v="17000"/>
    <s v="Match"/>
  </r>
  <r>
    <s v="ORD1313"/>
    <d v="2024-10-09T00:00:00"/>
    <s v="CUST128"/>
    <x v="0"/>
    <s v="Beauty"/>
    <x v="19"/>
    <n v="6"/>
    <n v="2256"/>
    <x v="311"/>
    <n v="13536"/>
    <s v="Match"/>
  </r>
  <r>
    <s v="ORD1314"/>
    <d v="2024-08-27T00:00:00"/>
    <s v="CUST91"/>
    <x v="0"/>
    <s v="Beauty"/>
    <x v="14"/>
    <n v="6"/>
    <n v="3344"/>
    <x v="312"/>
    <n v="20064"/>
    <s v="Match"/>
  </r>
  <r>
    <s v="ORD1315"/>
    <d v="2024-12-12T00:00:00"/>
    <s v="CUST136"/>
    <x v="1"/>
    <s v="Beauty"/>
    <x v="0"/>
    <n v="5"/>
    <n v="2470"/>
    <x v="313"/>
    <n v="12350"/>
    <s v="Match"/>
  </r>
  <r>
    <s v="ORD1316"/>
    <d v="2024-05-05T00:00:00"/>
    <s v="CUST110"/>
    <x v="0"/>
    <s v="Clothing"/>
    <x v="1"/>
    <n v="8"/>
    <n v="1639"/>
    <x v="314"/>
    <n v="13112"/>
    <s v="Match"/>
  </r>
  <r>
    <s v="ORD1317"/>
    <d v="2024-04-06T00:00:00"/>
    <s v="CUST125"/>
    <x v="2"/>
    <s v="Beauty"/>
    <x v="14"/>
    <n v="1"/>
    <n v="752"/>
    <x v="315"/>
    <n v="752"/>
    <s v="Match"/>
  </r>
  <r>
    <s v="ORD1318"/>
    <d v="2024-02-07T00:00:00"/>
    <s v="CUST17"/>
    <x v="0"/>
    <s v="Beauty"/>
    <x v="19"/>
    <n v="4"/>
    <n v="915"/>
    <x v="316"/>
    <n v="3660"/>
    <s v="Match"/>
  </r>
  <r>
    <s v="ORD1319"/>
    <d v="2024-12-26T00:00:00"/>
    <s v="CUST76"/>
    <x v="3"/>
    <s v="Beauty"/>
    <x v="0"/>
    <n v="4"/>
    <n v="4111"/>
    <x v="317"/>
    <n v="16444"/>
    <s v="Match"/>
  </r>
  <r>
    <s v="ORD1320"/>
    <d v="2024-01-02T00:00:00"/>
    <s v="CUST18"/>
    <x v="1"/>
    <s v="Furniture"/>
    <x v="8"/>
    <n v="3"/>
    <n v="1913"/>
    <x v="318"/>
    <n v="5739"/>
    <s v="Match"/>
  </r>
  <r>
    <s v="ORD1321"/>
    <d v="2024-01-09T00:00:00"/>
    <s v="CUST132"/>
    <x v="2"/>
    <s v="Clothing"/>
    <x v="15"/>
    <n v="3"/>
    <n v="3589"/>
    <x v="319"/>
    <n v="10767"/>
    <s v="Match"/>
  </r>
  <r>
    <s v="ORD1322"/>
    <d v="2024-02-21T00:00:00"/>
    <s v="CUST119"/>
    <x v="1"/>
    <s v="Beauty"/>
    <x v="19"/>
    <n v="4"/>
    <n v="1307"/>
    <x v="320"/>
    <n v="5228"/>
    <s v="Match"/>
  </r>
  <r>
    <s v="ORD1323"/>
    <d v="2024-05-15T00:00:00"/>
    <s v="CUST127"/>
    <x v="3"/>
    <s v="Electronics"/>
    <x v="10"/>
    <n v="1"/>
    <n v="4406"/>
    <x v="321"/>
    <n v="4406"/>
    <s v="Match"/>
  </r>
  <r>
    <s v="ORD1324"/>
    <d v="2024-10-31T00:00:00"/>
    <s v="CUST76"/>
    <x v="3"/>
    <s v="Electronics"/>
    <x v="2"/>
    <n v="2"/>
    <n v="450"/>
    <x v="322"/>
    <n v="900"/>
    <s v="Match"/>
  </r>
  <r>
    <s v="ORD1325"/>
    <d v="2024-03-27T00:00:00"/>
    <s v="CUST49"/>
    <x v="3"/>
    <s v="Electronics"/>
    <x v="18"/>
    <n v="9"/>
    <n v="2630"/>
    <x v="323"/>
    <n v="23670"/>
    <s v="Match"/>
  </r>
  <r>
    <s v="ORD1326"/>
    <d v="2024-08-12T00:00:00"/>
    <s v="CUST12"/>
    <x v="0"/>
    <s v="Clothing"/>
    <x v="16"/>
    <n v="2"/>
    <n v="2254"/>
    <x v="324"/>
    <n v="4508"/>
    <s v="Match"/>
  </r>
  <r>
    <s v="ORD1327"/>
    <d v="2024-07-04T00:00:00"/>
    <s v="CUST104"/>
    <x v="0"/>
    <s v="Clothing"/>
    <x v="1"/>
    <n v="5"/>
    <n v="658"/>
    <x v="325"/>
    <n v="3290"/>
    <s v="Match"/>
  </r>
  <r>
    <s v="ORD1328"/>
    <d v="2024-10-22T00:00:00"/>
    <s v="CUST77"/>
    <x v="1"/>
    <s v="Electronics"/>
    <x v="13"/>
    <n v="9"/>
    <n v="407"/>
    <x v="326"/>
    <n v="3663"/>
    <s v="Match"/>
  </r>
  <r>
    <s v="ORD1329"/>
    <d v="2024-04-13T00:00:00"/>
    <s v="CUST58"/>
    <x v="1"/>
    <s v="Beauty"/>
    <x v="14"/>
    <n v="9"/>
    <n v="1099"/>
    <x v="327"/>
    <n v="9891"/>
    <s v="Match"/>
  </r>
  <r>
    <s v="ORD1330"/>
    <d v="2024-01-31T00:00:00"/>
    <s v="CUST64"/>
    <x v="2"/>
    <s v="Clothing"/>
    <x v="7"/>
    <n v="8"/>
    <n v="3661"/>
    <x v="328"/>
    <n v="29288"/>
    <s v="Match"/>
  </r>
  <r>
    <s v="ORD1331"/>
    <d v="2024-10-12T00:00:00"/>
    <s v="CUST99"/>
    <x v="2"/>
    <s v="Electronics"/>
    <x v="18"/>
    <n v="1"/>
    <n v="3585"/>
    <x v="329"/>
    <n v="3585"/>
    <s v="Match"/>
  </r>
  <r>
    <s v="ORD1332"/>
    <d v="2024-03-22T00:00:00"/>
    <s v="CUST37"/>
    <x v="1"/>
    <s v="Electronics"/>
    <x v="10"/>
    <n v="1"/>
    <n v="221"/>
    <x v="330"/>
    <n v="221"/>
    <s v="Match"/>
  </r>
  <r>
    <s v="ORD1333"/>
    <d v="2024-07-12T00:00:00"/>
    <s v="CUST124"/>
    <x v="0"/>
    <s v="Beauty"/>
    <x v="19"/>
    <n v="9"/>
    <n v="609"/>
    <x v="331"/>
    <n v="5481"/>
    <s v="Match"/>
  </r>
  <r>
    <s v="ORD1334"/>
    <d v="2024-03-03T00:00:00"/>
    <s v="CUST130"/>
    <x v="3"/>
    <s v="Furniture"/>
    <x v="4"/>
    <n v="8"/>
    <n v="1094"/>
    <x v="332"/>
    <n v="8752"/>
    <s v="Match"/>
  </r>
  <r>
    <s v="ORD1335"/>
    <d v="2024-05-05T00:00:00"/>
    <s v="CUST147"/>
    <x v="1"/>
    <s v="Clothing"/>
    <x v="17"/>
    <n v="9"/>
    <n v="714"/>
    <x v="333"/>
    <n v="6426"/>
    <s v="Match"/>
  </r>
  <r>
    <s v="ORD1336"/>
    <d v="2024-10-08T00:00:00"/>
    <s v="CUST89"/>
    <x v="2"/>
    <s v="Beauty"/>
    <x v="0"/>
    <n v="7"/>
    <n v="4309"/>
    <x v="334"/>
    <n v="30163"/>
    <s v="Match"/>
  </r>
  <r>
    <s v="ORD1337"/>
    <d v="2024-02-18T00:00:00"/>
    <s v="CUST58"/>
    <x v="0"/>
    <s v="Electronics"/>
    <x v="13"/>
    <n v="3"/>
    <n v="2334"/>
    <x v="335"/>
    <n v="7002"/>
    <s v="Match"/>
  </r>
  <r>
    <s v="ORD1338"/>
    <d v="2024-07-06T00:00:00"/>
    <s v="CUST119"/>
    <x v="1"/>
    <s v="Electronics"/>
    <x v="2"/>
    <n v="3"/>
    <n v="3795"/>
    <x v="336"/>
    <n v="11385"/>
    <s v="Match"/>
  </r>
  <r>
    <s v="ORD1339"/>
    <d v="2024-07-10T00:00:00"/>
    <s v="CUST104"/>
    <x v="1"/>
    <s v="Beauty"/>
    <x v="14"/>
    <n v="2"/>
    <n v="3156"/>
    <x v="337"/>
    <n v="6312"/>
    <s v="Match"/>
  </r>
  <r>
    <s v="ORD1340"/>
    <d v="2024-09-26T00:00:00"/>
    <s v="CUST60"/>
    <x v="0"/>
    <s v="Clothing"/>
    <x v="17"/>
    <n v="5"/>
    <n v="1760"/>
    <x v="338"/>
    <n v="8800"/>
    <s v="Match"/>
  </r>
  <r>
    <s v="ORD1341"/>
    <d v="2024-01-30T00:00:00"/>
    <s v="CUST1"/>
    <x v="1"/>
    <s v="Furniture"/>
    <x v="4"/>
    <n v="3"/>
    <n v="1466"/>
    <x v="339"/>
    <n v="4398"/>
    <s v="Match"/>
  </r>
  <r>
    <s v="ORD1342"/>
    <d v="2024-12-26T00:00:00"/>
    <s v="CUST89"/>
    <x v="0"/>
    <s v="Furniture"/>
    <x v="4"/>
    <n v="6"/>
    <n v="2369"/>
    <x v="340"/>
    <n v="14214"/>
    <s v="Match"/>
  </r>
  <r>
    <s v="ORD1343"/>
    <d v="2024-01-12T00:00:00"/>
    <s v="CUST34"/>
    <x v="3"/>
    <s v="Electronics"/>
    <x v="13"/>
    <n v="2"/>
    <n v="3838"/>
    <x v="341"/>
    <n v="7676"/>
    <s v="Match"/>
  </r>
  <r>
    <s v="ORD1344"/>
    <d v="2024-03-05T00:00:00"/>
    <s v="CUST45"/>
    <x v="0"/>
    <s v="Clothing"/>
    <x v="15"/>
    <n v="3"/>
    <n v="949"/>
    <x v="342"/>
    <n v="2847"/>
    <s v="Match"/>
  </r>
  <r>
    <s v="ORD1345"/>
    <d v="2024-01-28T00:00:00"/>
    <s v="CUST109"/>
    <x v="0"/>
    <s v="Furniture"/>
    <x v="8"/>
    <n v="5"/>
    <n v="3627"/>
    <x v="343"/>
    <n v="18135"/>
    <s v="Match"/>
  </r>
  <r>
    <s v="ORD1346"/>
    <d v="2024-04-14T00:00:00"/>
    <s v="CUST60"/>
    <x v="0"/>
    <s v="Clothing"/>
    <x v="1"/>
    <n v="1"/>
    <n v="4980"/>
    <x v="344"/>
    <n v="4980"/>
    <s v="Match"/>
  </r>
  <r>
    <s v="ORD1347"/>
    <d v="2024-12-01T00:00:00"/>
    <s v="CUST140"/>
    <x v="1"/>
    <s v="Clothing"/>
    <x v="15"/>
    <n v="1"/>
    <n v="2127"/>
    <x v="345"/>
    <n v="2127"/>
    <s v="Match"/>
  </r>
  <r>
    <s v="ORD1348"/>
    <d v="2024-06-03T00:00:00"/>
    <s v="CUST28"/>
    <x v="1"/>
    <s v="Electronics"/>
    <x v="13"/>
    <n v="9"/>
    <n v="4004"/>
    <x v="346"/>
    <n v="36036"/>
    <s v="Match"/>
  </r>
  <r>
    <s v="ORD1349"/>
    <d v="2024-10-15T00:00:00"/>
    <s v="CUST96"/>
    <x v="0"/>
    <s v="Furniture"/>
    <x v="6"/>
    <n v="7"/>
    <n v="3902"/>
    <x v="347"/>
    <n v="27314"/>
    <s v="Match"/>
  </r>
  <r>
    <s v="ORD1350"/>
    <d v="2024-05-05T00:00:00"/>
    <s v="CUST70"/>
    <x v="1"/>
    <s v="Beauty"/>
    <x v="5"/>
    <n v="1"/>
    <n v="2556"/>
    <x v="348"/>
    <n v="2556"/>
    <s v="Match"/>
  </r>
  <r>
    <s v="ORD1351"/>
    <d v="2024-02-24T00:00:00"/>
    <s v="CUST62"/>
    <x v="2"/>
    <s v="Electronics"/>
    <x v="10"/>
    <n v="8"/>
    <n v="4990"/>
    <x v="349"/>
    <n v="39920"/>
    <s v="Match"/>
  </r>
  <r>
    <s v="ORD1352"/>
    <d v="2024-08-13T00:00:00"/>
    <s v="CUST148"/>
    <x v="2"/>
    <s v="Furniture"/>
    <x v="4"/>
    <n v="3"/>
    <n v="2535"/>
    <x v="350"/>
    <n v="7605"/>
    <s v="Match"/>
  </r>
  <r>
    <s v="ORD1353"/>
    <d v="2024-02-26T00:00:00"/>
    <s v="CUST78"/>
    <x v="1"/>
    <s v="Furniture"/>
    <x v="4"/>
    <n v="8"/>
    <n v="506"/>
    <x v="351"/>
    <n v="4048"/>
    <s v="Match"/>
  </r>
  <r>
    <s v="ORD1354"/>
    <d v="2024-05-27T00:00:00"/>
    <s v="CUST33"/>
    <x v="1"/>
    <s v="Furniture"/>
    <x v="12"/>
    <n v="5"/>
    <n v="3865"/>
    <x v="352"/>
    <n v="19325"/>
    <s v="Match"/>
  </r>
  <r>
    <s v="ORD1355"/>
    <d v="2024-09-15T00:00:00"/>
    <s v="CUST115"/>
    <x v="0"/>
    <s v="Furniture"/>
    <x v="6"/>
    <n v="1"/>
    <n v="2189"/>
    <x v="353"/>
    <n v="2189"/>
    <s v="Match"/>
  </r>
  <r>
    <s v="ORD1356"/>
    <d v="2024-08-04T00:00:00"/>
    <s v="CUST142"/>
    <x v="3"/>
    <s v="Furniture"/>
    <x v="11"/>
    <n v="7"/>
    <n v="861"/>
    <x v="354"/>
    <n v="6027"/>
    <s v="Match"/>
  </r>
  <r>
    <s v="ORD1357"/>
    <d v="2024-01-11T00:00:00"/>
    <s v="CUST72"/>
    <x v="1"/>
    <s v="Clothing"/>
    <x v="7"/>
    <n v="5"/>
    <n v="4844"/>
    <x v="355"/>
    <n v="24220"/>
    <s v="Match"/>
  </r>
  <r>
    <s v="ORD1358"/>
    <d v="2024-10-24T00:00:00"/>
    <s v="CUST10"/>
    <x v="2"/>
    <s v="Electronics"/>
    <x v="2"/>
    <n v="6"/>
    <n v="511"/>
    <x v="356"/>
    <n v="3066"/>
    <s v="Match"/>
  </r>
  <r>
    <s v="ORD1359"/>
    <d v="2024-09-15T00:00:00"/>
    <s v="CUST60"/>
    <x v="0"/>
    <s v="Clothing"/>
    <x v="16"/>
    <n v="6"/>
    <n v="3120"/>
    <x v="357"/>
    <n v="18720"/>
    <s v="Match"/>
  </r>
  <r>
    <s v="ORD1360"/>
    <d v="2024-02-06T00:00:00"/>
    <s v="CUST55"/>
    <x v="1"/>
    <s v="Beauty"/>
    <x v="19"/>
    <n v="8"/>
    <n v="1282"/>
    <x v="358"/>
    <n v="10256"/>
    <s v="Match"/>
  </r>
  <r>
    <s v="ORD1361"/>
    <d v="2024-08-07T00:00:00"/>
    <s v="CUST122"/>
    <x v="2"/>
    <s v="Furniture"/>
    <x v="8"/>
    <n v="9"/>
    <n v="3171"/>
    <x v="359"/>
    <n v="28539"/>
    <s v="Match"/>
  </r>
  <r>
    <s v="ORD1362"/>
    <d v="2024-05-13T00:00:00"/>
    <s v="CUST27"/>
    <x v="2"/>
    <s v="Electronics"/>
    <x v="9"/>
    <n v="2"/>
    <n v="954"/>
    <x v="360"/>
    <n v="1908"/>
    <s v="Match"/>
  </r>
  <r>
    <s v="ORD1363"/>
    <d v="2024-07-23T00:00:00"/>
    <s v="CUST107"/>
    <x v="3"/>
    <s v="Furniture"/>
    <x v="8"/>
    <n v="9"/>
    <n v="4330"/>
    <x v="361"/>
    <n v="38970"/>
    <s v="Match"/>
  </r>
  <r>
    <s v="ORD1364"/>
    <d v="2024-11-28T00:00:00"/>
    <s v="CUST30"/>
    <x v="0"/>
    <s v="Electronics"/>
    <x v="18"/>
    <n v="9"/>
    <n v="4740"/>
    <x v="362"/>
    <n v="42660"/>
    <s v="Match"/>
  </r>
  <r>
    <s v="ORD1365"/>
    <d v="2024-03-02T00:00:00"/>
    <s v="CUST124"/>
    <x v="0"/>
    <s v="Clothing"/>
    <x v="16"/>
    <n v="7"/>
    <n v="552"/>
    <x v="363"/>
    <n v="3864"/>
    <s v="Match"/>
  </r>
  <r>
    <s v="ORD1366"/>
    <d v="2024-04-09T00:00:00"/>
    <s v="CUST116"/>
    <x v="3"/>
    <s v="Electronics"/>
    <x v="18"/>
    <n v="1"/>
    <n v="1102"/>
    <x v="364"/>
    <n v="1102"/>
    <s v="Match"/>
  </r>
  <r>
    <s v="ORD1367"/>
    <d v="2024-05-17T00:00:00"/>
    <s v="CUST45"/>
    <x v="3"/>
    <s v="Beauty"/>
    <x v="5"/>
    <n v="7"/>
    <n v="4088"/>
    <x v="365"/>
    <n v="28616"/>
    <s v="Match"/>
  </r>
  <r>
    <s v="ORD1368"/>
    <d v="2024-07-24T00:00:00"/>
    <s v="CUST143"/>
    <x v="0"/>
    <s v="Beauty"/>
    <x v="3"/>
    <n v="5"/>
    <n v="358"/>
    <x v="366"/>
    <n v="1790"/>
    <s v="Match"/>
  </r>
  <r>
    <s v="ORD1369"/>
    <d v="2024-04-08T00:00:00"/>
    <s v="CUST125"/>
    <x v="0"/>
    <s v="Electronics"/>
    <x v="2"/>
    <n v="6"/>
    <n v="2177"/>
    <x v="367"/>
    <n v="13062"/>
    <s v="Match"/>
  </r>
  <r>
    <s v="ORD1370"/>
    <d v="2024-05-23T00:00:00"/>
    <s v="CUST15"/>
    <x v="1"/>
    <s v="Electronics"/>
    <x v="13"/>
    <n v="7"/>
    <n v="1156"/>
    <x v="368"/>
    <n v="8092"/>
    <s v="Match"/>
  </r>
  <r>
    <s v="ORD1371"/>
    <d v="2024-05-12T00:00:00"/>
    <s v="CUST89"/>
    <x v="1"/>
    <s v="Electronics"/>
    <x v="18"/>
    <n v="5"/>
    <n v="2271"/>
    <x v="369"/>
    <n v="11355"/>
    <s v="Match"/>
  </r>
  <r>
    <s v="ORD1372"/>
    <d v="2024-05-28T00:00:00"/>
    <s v="CUST91"/>
    <x v="3"/>
    <s v="Electronics"/>
    <x v="2"/>
    <n v="7"/>
    <n v="603"/>
    <x v="370"/>
    <n v="4221"/>
    <s v="Match"/>
  </r>
  <r>
    <s v="ORD1373"/>
    <d v="2024-06-08T00:00:00"/>
    <s v="CUST150"/>
    <x v="1"/>
    <s v="Beauty"/>
    <x v="5"/>
    <n v="9"/>
    <n v="4811"/>
    <x v="371"/>
    <n v="43299"/>
    <s v="Match"/>
  </r>
  <r>
    <s v="ORD1374"/>
    <d v="2024-01-31T00:00:00"/>
    <s v="CUST127"/>
    <x v="2"/>
    <s v="Furniture"/>
    <x v="6"/>
    <n v="3"/>
    <n v="2979"/>
    <x v="372"/>
    <n v="8937"/>
    <s v="Match"/>
  </r>
  <r>
    <s v="ORD1375"/>
    <d v="2024-09-12T00:00:00"/>
    <s v="CUST36"/>
    <x v="1"/>
    <s v="Electronics"/>
    <x v="10"/>
    <n v="8"/>
    <n v="1587"/>
    <x v="373"/>
    <n v="12696"/>
    <s v="Match"/>
  </r>
  <r>
    <s v="ORD1376"/>
    <d v="2024-04-20T00:00:00"/>
    <s v="CUST139"/>
    <x v="1"/>
    <s v="Electronics"/>
    <x v="2"/>
    <n v="2"/>
    <n v="3653"/>
    <x v="374"/>
    <n v="7306"/>
    <s v="Match"/>
  </r>
  <r>
    <s v="ORD1377"/>
    <d v="2024-11-26T00:00:00"/>
    <s v="CUST41"/>
    <x v="2"/>
    <s v="Beauty"/>
    <x v="0"/>
    <n v="7"/>
    <n v="1155"/>
    <x v="375"/>
    <n v="8085"/>
    <s v="Match"/>
  </r>
  <r>
    <s v="ORD1378"/>
    <d v="2024-06-27T00:00:00"/>
    <s v="CUST81"/>
    <x v="3"/>
    <s v="Beauty"/>
    <x v="19"/>
    <n v="2"/>
    <n v="1912"/>
    <x v="376"/>
    <n v="3824"/>
    <s v="Match"/>
  </r>
  <r>
    <s v="ORD1379"/>
    <d v="2024-06-30T00:00:00"/>
    <s v="CUST14"/>
    <x v="2"/>
    <s v="Clothing"/>
    <x v="1"/>
    <n v="4"/>
    <n v="4903"/>
    <x v="377"/>
    <n v="19612"/>
    <s v="Match"/>
  </r>
  <r>
    <s v="ORD1380"/>
    <d v="2024-03-16T00:00:00"/>
    <s v="CUST90"/>
    <x v="1"/>
    <s v="Electronics"/>
    <x v="18"/>
    <n v="7"/>
    <n v="1473"/>
    <x v="378"/>
    <n v="10311"/>
    <s v="Match"/>
  </r>
  <r>
    <s v="ORD1381"/>
    <d v="2024-02-05T00:00:00"/>
    <s v="CUST10"/>
    <x v="3"/>
    <s v="Clothing"/>
    <x v="15"/>
    <n v="3"/>
    <n v="4011"/>
    <x v="379"/>
    <n v="12033"/>
    <s v="Match"/>
  </r>
  <r>
    <s v="ORD1382"/>
    <d v="2024-09-07T00:00:00"/>
    <s v="CUST83"/>
    <x v="1"/>
    <s v="Beauty"/>
    <x v="5"/>
    <n v="2"/>
    <n v="2825"/>
    <x v="380"/>
    <n v="5650"/>
    <s v="Match"/>
  </r>
  <r>
    <s v="ORD1383"/>
    <d v="2024-09-06T00:00:00"/>
    <s v="CUST95"/>
    <x v="2"/>
    <s v="Beauty"/>
    <x v="19"/>
    <n v="7"/>
    <n v="2582"/>
    <x v="381"/>
    <n v="18074"/>
    <s v="Match"/>
  </r>
  <r>
    <s v="ORD1384"/>
    <d v="2024-10-24T00:00:00"/>
    <s v="CUST141"/>
    <x v="2"/>
    <s v="Furniture"/>
    <x v="12"/>
    <n v="1"/>
    <n v="1641"/>
    <x v="382"/>
    <n v="1641"/>
    <s v="Match"/>
  </r>
  <r>
    <s v="ORD1385"/>
    <d v="2024-08-12T00:00:00"/>
    <s v="CUST86"/>
    <x v="1"/>
    <s v="Electronics"/>
    <x v="9"/>
    <n v="8"/>
    <n v="3179"/>
    <x v="383"/>
    <n v="25432"/>
    <s v="Match"/>
  </r>
  <r>
    <s v="ORD1386"/>
    <d v="2024-01-20T00:00:00"/>
    <s v="CUST28"/>
    <x v="0"/>
    <s v="Clothing"/>
    <x v="16"/>
    <n v="3"/>
    <n v="1997"/>
    <x v="384"/>
    <n v="5991"/>
    <s v="Match"/>
  </r>
  <r>
    <s v="ORD1387"/>
    <d v="2024-05-13T00:00:00"/>
    <s v="CUST58"/>
    <x v="0"/>
    <s v="Beauty"/>
    <x v="0"/>
    <n v="2"/>
    <n v="4590"/>
    <x v="385"/>
    <n v="9180"/>
    <s v="Match"/>
  </r>
  <r>
    <s v="ORD1388"/>
    <d v="2024-08-18T00:00:00"/>
    <s v="CUST101"/>
    <x v="2"/>
    <s v="Beauty"/>
    <x v="14"/>
    <n v="3"/>
    <n v="4209"/>
    <x v="386"/>
    <n v="12627"/>
    <s v="Match"/>
  </r>
  <r>
    <s v="ORD1389"/>
    <d v="2024-06-24T00:00:00"/>
    <s v="CUST67"/>
    <x v="2"/>
    <s v="Clothing"/>
    <x v="17"/>
    <n v="5"/>
    <n v="1594"/>
    <x v="387"/>
    <n v="7970"/>
    <s v="Match"/>
  </r>
  <r>
    <s v="ORD1390"/>
    <d v="2024-01-15T00:00:00"/>
    <s v="CUST94"/>
    <x v="0"/>
    <s v="Furniture"/>
    <x v="12"/>
    <n v="8"/>
    <n v="4481"/>
    <x v="388"/>
    <n v="35848"/>
    <s v="Match"/>
  </r>
  <r>
    <s v="ORD1391"/>
    <d v="2024-01-06T00:00:00"/>
    <s v="CUST97"/>
    <x v="0"/>
    <s v="Beauty"/>
    <x v="14"/>
    <n v="7"/>
    <n v="1469"/>
    <x v="389"/>
    <n v="10283"/>
    <s v="Match"/>
  </r>
  <r>
    <s v="ORD1392"/>
    <d v="2024-04-28T00:00:00"/>
    <s v="CUST95"/>
    <x v="1"/>
    <s v="Electronics"/>
    <x v="2"/>
    <n v="7"/>
    <n v="4932"/>
    <x v="390"/>
    <n v="34524"/>
    <s v="Match"/>
  </r>
  <r>
    <s v="ORD1393"/>
    <d v="2024-04-06T00:00:00"/>
    <s v="CUST142"/>
    <x v="1"/>
    <s v="Beauty"/>
    <x v="14"/>
    <n v="7"/>
    <n v="3914"/>
    <x v="391"/>
    <n v="27398"/>
    <s v="Match"/>
  </r>
  <r>
    <s v="ORD1394"/>
    <d v="2024-11-16T00:00:00"/>
    <s v="CUST132"/>
    <x v="0"/>
    <s v="Electronics"/>
    <x v="13"/>
    <n v="8"/>
    <n v="729"/>
    <x v="392"/>
    <n v="5832"/>
    <s v="Match"/>
  </r>
  <r>
    <s v="ORD1395"/>
    <d v="2024-10-28T00:00:00"/>
    <s v="CUST145"/>
    <x v="1"/>
    <s v="Clothing"/>
    <x v="17"/>
    <n v="1"/>
    <n v="3823"/>
    <x v="393"/>
    <n v="3823"/>
    <s v="Match"/>
  </r>
  <r>
    <s v="ORD1396"/>
    <d v="2024-05-15T00:00:00"/>
    <s v="CUST62"/>
    <x v="1"/>
    <s v="Electronics"/>
    <x v="2"/>
    <n v="4"/>
    <n v="3158"/>
    <x v="394"/>
    <n v="12632"/>
    <s v="Match"/>
  </r>
  <r>
    <s v="ORD1397"/>
    <d v="2024-05-04T00:00:00"/>
    <s v="CUST9"/>
    <x v="3"/>
    <s v="Clothing"/>
    <x v="1"/>
    <n v="6"/>
    <n v="3114"/>
    <x v="395"/>
    <n v="18684"/>
    <s v="Match"/>
  </r>
  <r>
    <s v="ORD1398"/>
    <d v="2024-02-11T00:00:00"/>
    <s v="CUST73"/>
    <x v="1"/>
    <s v="Electronics"/>
    <x v="13"/>
    <n v="9"/>
    <n v="3791"/>
    <x v="396"/>
    <n v="34119"/>
    <s v="Match"/>
  </r>
  <r>
    <s v="ORD1399"/>
    <d v="2024-03-14T00:00:00"/>
    <s v="CUST20"/>
    <x v="2"/>
    <s v="Clothing"/>
    <x v="1"/>
    <n v="2"/>
    <n v="2347"/>
    <x v="397"/>
    <n v="4694"/>
    <s v="Match"/>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
  <r>
    <s v="ORD1000"/>
    <x v="0"/>
    <s v="CUST22"/>
    <x v="0"/>
    <x v="0"/>
    <s v="Perfume"/>
    <n v="1"/>
    <n v="4311"/>
    <n v="4311"/>
    <n v="1288.51"/>
    <n v="334.57249070631974"/>
  </r>
  <r>
    <s v="ORD1001"/>
    <x v="1"/>
    <s v="CUST52"/>
    <x v="1"/>
    <x v="0"/>
    <s v="Perfume"/>
    <n v="9"/>
    <n v="692"/>
    <n v="6228"/>
    <n v="924.3"/>
    <n v="673.80720545277507"/>
  </r>
  <r>
    <s v="ORD1002"/>
    <x v="2"/>
    <s v="CUST138"/>
    <x v="2"/>
    <x v="1"/>
    <s v="T-Shirt"/>
    <n v="8"/>
    <n v="1331"/>
    <n v="10648"/>
    <n v="1235.77"/>
    <n v="861.64901235666832"/>
  </r>
  <r>
    <s v="ORD1003"/>
    <x v="3"/>
    <s v="CUST141"/>
    <x v="0"/>
    <x v="2"/>
    <s v="Tablet"/>
    <n v="6"/>
    <n v="3721"/>
    <n v="22326"/>
    <n v="5433.51"/>
    <n v="410.89461508306783"/>
  </r>
  <r>
    <s v="ORD1004"/>
    <x v="4"/>
    <s v="CUST35"/>
    <x v="0"/>
    <x v="0"/>
    <s v="Perfume"/>
    <n v="7"/>
    <n v="510"/>
    <n v="3570"/>
    <n v="1182.0899999999999"/>
    <n v="302.00746136081011"/>
  </r>
  <r>
    <s v="ORD1005"/>
    <x v="5"/>
    <s v="CUST106"/>
    <x v="1"/>
    <x v="0"/>
    <s v="Face Cream"/>
    <n v="3"/>
    <n v="938"/>
    <n v="2814"/>
    <n v="285.02"/>
    <n v="987.29913690267358"/>
  </r>
  <r>
    <s v="ORD1006"/>
    <x v="6"/>
    <s v="CUST110"/>
    <x v="2"/>
    <x v="3"/>
    <s v="Sofa"/>
    <n v="1"/>
    <n v="3441"/>
    <n v="3441"/>
    <n v="1008.41"/>
    <n v="341.23025356749736"/>
  </r>
  <r>
    <s v="ORD1007"/>
    <x v="7"/>
    <s v="CUST41"/>
    <x v="2"/>
    <x v="0"/>
    <s v="Shampoo"/>
    <n v="5"/>
    <n v="745"/>
    <n v="3725"/>
    <n v="1086.93"/>
    <n v="342.70836208403483"/>
  </r>
  <r>
    <s v="ORD1008"/>
    <x v="8"/>
    <s v="CUST132"/>
    <x v="0"/>
    <x v="0"/>
    <s v="Perfume"/>
    <n v="2"/>
    <n v="2661"/>
    <n v="5322"/>
    <n v="1723.23"/>
    <n v="308.83863442488814"/>
  </r>
  <r>
    <s v="ORD1009"/>
    <x v="9"/>
    <s v="CUST29"/>
    <x v="3"/>
    <x v="3"/>
    <s v="Bed"/>
    <n v="5"/>
    <n v="4546"/>
    <n v="22730"/>
    <n v="7358.84"/>
    <n v="308.88020394518702"/>
  </r>
  <r>
    <s v="ORD1010"/>
    <x v="10"/>
    <s v="CUST10"/>
    <x v="0"/>
    <x v="1"/>
    <s v="Shoes"/>
    <n v="8"/>
    <n v="2004"/>
    <n v="16032"/>
    <n v="5001.8900000000003"/>
    <n v="320.51884387701449"/>
  </r>
  <r>
    <s v="ORD1011"/>
    <x v="11"/>
    <s v="CUST28"/>
    <x v="0"/>
    <x v="0"/>
    <s v="Face Cream"/>
    <n v="9"/>
    <n v="3412"/>
    <n v="30708"/>
    <n v="6451.58"/>
    <n v="475.97642747978017"/>
  </r>
  <r>
    <s v="ORD1012"/>
    <x v="12"/>
    <s v="CUST21"/>
    <x v="0"/>
    <x v="3"/>
    <s v="Chair"/>
    <n v="2"/>
    <n v="4010"/>
    <n v="8020"/>
    <n v="2427.1999999999998"/>
    <n v="330.4218852999341"/>
  </r>
  <r>
    <s v="ORD1013"/>
    <x v="13"/>
    <s v="CUST119"/>
    <x v="0"/>
    <x v="2"/>
    <s v="Headphones"/>
    <n v="3"/>
    <n v="1013"/>
    <n v="3039"/>
    <n v="1101.6199999999999"/>
    <n v="275.86645122637572"/>
  </r>
  <r>
    <s v="ORD1014"/>
    <x v="13"/>
    <s v="CUST147"/>
    <x v="1"/>
    <x v="1"/>
    <s v="Shoes"/>
    <n v="3"/>
    <n v="4324"/>
    <n v="12972"/>
    <n v="3018.38"/>
    <n v="429.76696108508531"/>
  </r>
  <r>
    <s v="ORD1015"/>
    <x v="14"/>
    <s v="CUST77"/>
    <x v="2"/>
    <x v="2"/>
    <s v="Laptop"/>
    <n v="1"/>
    <n v="2232"/>
    <n v="2232"/>
    <n v="262.54000000000002"/>
    <n v="850.15616667936308"/>
  </r>
  <r>
    <s v="ORD1016"/>
    <x v="15"/>
    <s v="CUST39"/>
    <x v="1"/>
    <x v="2"/>
    <s v="Tablet"/>
    <n v="8"/>
    <n v="4772"/>
    <n v="38176"/>
    <n v="6448.55"/>
    <n v="592.00905629947817"/>
  </r>
  <r>
    <s v="ORD1017"/>
    <x v="16"/>
    <s v="CUST103"/>
    <x v="1"/>
    <x v="3"/>
    <s v="Bed"/>
    <n v="6"/>
    <n v="4613"/>
    <n v="27678"/>
    <n v="8369.51"/>
    <n v="330.70036358161946"/>
  </r>
  <r>
    <s v="ORD1018"/>
    <x v="17"/>
    <s v="CUST137"/>
    <x v="1"/>
    <x v="0"/>
    <s v="Shampoo"/>
    <n v="8"/>
    <n v="444"/>
    <n v="3552"/>
    <n v="1073.08"/>
    <n v="331.00980355611887"/>
  </r>
  <r>
    <s v="ORD1019"/>
    <x v="18"/>
    <s v="CUST126"/>
    <x v="0"/>
    <x v="3"/>
    <s v="Table"/>
    <n v="9"/>
    <n v="4992"/>
    <n v="44928"/>
    <n v="7682.12"/>
    <n v="584.83856018911445"/>
  </r>
  <r>
    <s v="ORD1020"/>
    <x v="19"/>
    <s v="CUST30"/>
    <x v="3"/>
    <x v="3"/>
    <s v="Bookshelf"/>
    <n v="5"/>
    <n v="471"/>
    <n v="2355"/>
    <n v="642.91"/>
    <n v="366.30321506898326"/>
  </r>
  <r>
    <s v="ORD1021"/>
    <x v="20"/>
    <s v="CUST111"/>
    <x v="2"/>
    <x v="3"/>
    <s v="Bookshelf"/>
    <n v="3"/>
    <n v="3711"/>
    <n v="11133"/>
    <n v="4394.3"/>
    <n v="253.35093188903807"/>
  </r>
  <r>
    <s v="ORD1022"/>
    <x v="19"/>
    <s v="CUST11"/>
    <x v="3"/>
    <x v="3"/>
    <s v="Sofa"/>
    <n v="5"/>
    <n v="1971"/>
    <n v="9855"/>
    <n v="1711.72"/>
    <n v="575.73668590657348"/>
  </r>
  <r>
    <s v="ORD1023"/>
    <x v="5"/>
    <s v="CUST53"/>
    <x v="1"/>
    <x v="1"/>
    <s v="Shoes"/>
    <n v="5"/>
    <n v="1462"/>
    <n v="7310"/>
    <n v="1236.27"/>
    <n v="591.29478188421615"/>
  </r>
  <r>
    <s v="ORD1024"/>
    <x v="21"/>
    <s v="CUST70"/>
    <x v="1"/>
    <x v="0"/>
    <s v="Perfume"/>
    <n v="5"/>
    <n v="2624"/>
    <n v="13120"/>
    <n v="2673.37"/>
    <n v="490.76633612257189"/>
  </r>
  <r>
    <s v="ORD1025"/>
    <x v="22"/>
    <s v="CUST82"/>
    <x v="3"/>
    <x v="2"/>
    <s v="Tablet"/>
    <n v="3"/>
    <n v="4561"/>
    <n v="13683"/>
    <n v="4016.82"/>
    <n v="340.6425978759317"/>
  </r>
  <r>
    <s v="ORD1026"/>
    <x v="23"/>
    <s v="CUST37"/>
    <x v="3"/>
    <x v="2"/>
    <s v="Headphones"/>
    <n v="4"/>
    <n v="1120"/>
    <n v="4480"/>
    <n v="1036.8499999999999"/>
    <n v="432.07792834064713"/>
  </r>
  <r>
    <s v="ORD1027"/>
    <x v="24"/>
    <s v="CUST16"/>
    <x v="3"/>
    <x v="0"/>
    <s v="Face Cream"/>
    <n v="9"/>
    <n v="3630"/>
    <n v="32670"/>
    <n v="11215.06"/>
    <n v="291.3047277500076"/>
  </r>
  <r>
    <s v="ORD1028"/>
    <x v="25"/>
    <s v="CUST24"/>
    <x v="1"/>
    <x v="2"/>
    <s v="Tablet"/>
    <n v="9"/>
    <n v="4635"/>
    <n v="41715"/>
    <n v="9109.2000000000007"/>
    <n v="457.9436174417072"/>
  </r>
  <r>
    <s v="ORD1029"/>
    <x v="26"/>
    <s v="CUST70"/>
    <x v="1"/>
    <x v="0"/>
    <s v="Face Cream"/>
    <n v="2"/>
    <n v="4684"/>
    <n v="9368"/>
    <n v="3139.69"/>
    <n v="298.37340629170399"/>
  </r>
  <r>
    <s v="ORD1030"/>
    <x v="27"/>
    <s v="CUST101"/>
    <x v="2"/>
    <x v="2"/>
    <s v="Laptop"/>
    <n v="8"/>
    <n v="2824"/>
    <n v="22592"/>
    <n v="2721.55"/>
    <n v="830.11519171060593"/>
  </r>
  <r>
    <s v="ORD1031"/>
    <x v="28"/>
    <s v="CUST33"/>
    <x v="2"/>
    <x v="3"/>
    <s v="Bookshelf"/>
    <n v="8"/>
    <n v="3960"/>
    <n v="31680"/>
    <n v="11134.64"/>
    <n v="284.51750572986646"/>
  </r>
  <r>
    <s v="ORD1032"/>
    <x v="29"/>
    <s v="CUST69"/>
    <x v="1"/>
    <x v="2"/>
    <s v="Smartwatch"/>
    <n v="7"/>
    <n v="2250"/>
    <n v="15750"/>
    <n v="1706.58"/>
    <n v="922.89842843581914"/>
  </r>
  <r>
    <s v="ORD1033"/>
    <x v="30"/>
    <s v="CUST62"/>
    <x v="3"/>
    <x v="0"/>
    <s v="Lotion"/>
    <n v="8"/>
    <n v="3700"/>
    <n v="29600"/>
    <n v="6490.74"/>
    <n v="456.034288848421"/>
  </r>
  <r>
    <s v="ORD1034"/>
    <x v="31"/>
    <s v="CUST113"/>
    <x v="3"/>
    <x v="0"/>
    <s v="Lotion"/>
    <n v="3"/>
    <n v="1365"/>
    <n v="4095"/>
    <n v="1229.21"/>
    <n v="333.14079774814718"/>
  </r>
  <r>
    <s v="ORD1035"/>
    <x v="32"/>
    <s v="CUST112"/>
    <x v="2"/>
    <x v="0"/>
    <s v="Lotion"/>
    <n v="6"/>
    <n v="575"/>
    <n v="3450"/>
    <n v="724.62"/>
    <n v="476.11161712345779"/>
  </r>
  <r>
    <s v="ORD1036"/>
    <x v="33"/>
    <s v="CUST146"/>
    <x v="1"/>
    <x v="0"/>
    <s v="Face Cream"/>
    <n v="1"/>
    <n v="2233"/>
    <n v="2233"/>
    <n v="621.97"/>
    <n v="359.02053153689081"/>
  </r>
  <r>
    <s v="ORD1037"/>
    <x v="34"/>
    <s v="CUST123"/>
    <x v="2"/>
    <x v="0"/>
    <s v="Shampoo"/>
    <n v="7"/>
    <n v="345"/>
    <n v="2415"/>
    <n v="257.69"/>
    <n v="937.17257169467189"/>
  </r>
  <r>
    <s v="ORD1038"/>
    <x v="35"/>
    <s v="CUST146"/>
    <x v="2"/>
    <x v="1"/>
    <s v="Dress"/>
    <n v="1"/>
    <n v="4588"/>
    <n v="4588"/>
    <n v="883.16"/>
    <n v="519.49816567779339"/>
  </r>
  <r>
    <s v="ORD1039"/>
    <x v="36"/>
    <s v="CUST107"/>
    <x v="0"/>
    <x v="1"/>
    <s v="Jacket"/>
    <n v="9"/>
    <n v="631"/>
    <n v="5679"/>
    <n v="770.51"/>
    <n v="737.04429533685482"/>
  </r>
  <r>
    <s v="ORD1040"/>
    <x v="37"/>
    <s v="CUST67"/>
    <x v="0"/>
    <x v="2"/>
    <s v="Headphones"/>
    <n v="1"/>
    <n v="904"/>
    <n v="904"/>
    <n v="99.19"/>
    <n v="911.38219578586563"/>
  </r>
  <r>
    <s v="ORD1041"/>
    <x v="38"/>
    <s v="CUST72"/>
    <x v="0"/>
    <x v="0"/>
    <s v="Lotion"/>
    <n v="1"/>
    <n v="2832"/>
    <n v="2832"/>
    <n v="1124.6600000000001"/>
    <n v="251.80943574057935"/>
  </r>
  <r>
    <s v="ORD1042"/>
    <x v="39"/>
    <s v="CUST8"/>
    <x v="3"/>
    <x v="2"/>
    <s v="Tablet"/>
    <n v="7"/>
    <n v="4694"/>
    <n v="32858"/>
    <n v="7421.77"/>
    <n v="442.72457917720436"/>
  </r>
  <r>
    <s v="ORD1043"/>
    <x v="40"/>
    <s v="CUST49"/>
    <x v="1"/>
    <x v="0"/>
    <s v="Perfume"/>
    <n v="2"/>
    <n v="1163"/>
    <n v="2326"/>
    <n v="510.84"/>
    <n v="455.32847858429255"/>
  </r>
  <r>
    <s v="ORD1044"/>
    <x v="41"/>
    <s v="CUST80"/>
    <x v="1"/>
    <x v="0"/>
    <s v="Lotion"/>
    <n v="5"/>
    <n v="2434"/>
    <n v="12170"/>
    <n v="2545.2199999999998"/>
    <n v="478.15120107495625"/>
  </r>
  <r>
    <s v="ORD1045"/>
    <x v="42"/>
    <s v="CUST34"/>
    <x v="1"/>
    <x v="1"/>
    <s v="Jeans"/>
    <n v="8"/>
    <n v="2241"/>
    <n v="17928"/>
    <n v="4925.6000000000004"/>
    <n v="363.97596231931135"/>
  </r>
  <r>
    <s v="ORD1046"/>
    <x v="43"/>
    <s v="CUST42"/>
    <x v="1"/>
    <x v="1"/>
    <s v="Shoes"/>
    <n v="8"/>
    <n v="2028"/>
    <n v="16224"/>
    <n v="1741.31"/>
    <n v="931.71233152052184"/>
  </r>
  <r>
    <s v="ORD1047"/>
    <x v="44"/>
    <s v="CUST12"/>
    <x v="0"/>
    <x v="3"/>
    <s v="Chair"/>
    <n v="3"/>
    <n v="2308"/>
    <n v="6924"/>
    <n v="1272.33"/>
    <n v="544.19843908419989"/>
  </r>
  <r>
    <s v="ORD1048"/>
    <x v="45"/>
    <s v="CUST126"/>
    <x v="3"/>
    <x v="1"/>
    <s v="Dress"/>
    <n v="7"/>
    <n v="4268"/>
    <n v="29876"/>
    <n v="10054.86"/>
    <n v="297.12994512106582"/>
  </r>
  <r>
    <s v="ORD1049"/>
    <x v="46"/>
    <s v="CUST65"/>
    <x v="3"/>
    <x v="3"/>
    <s v="Bookshelf"/>
    <n v="3"/>
    <n v="1138"/>
    <n v="3414"/>
    <n v="870.88"/>
    <n v="392.01726988792944"/>
  </r>
  <r>
    <s v="ORD1050"/>
    <x v="47"/>
    <s v="CUST58"/>
    <x v="0"/>
    <x v="3"/>
    <s v="Table"/>
    <n v="6"/>
    <n v="1006"/>
    <n v="6036"/>
    <n v="1958.61"/>
    <n v="308.1777382939942"/>
  </r>
  <r>
    <s v="ORD1051"/>
    <x v="48"/>
    <s v="CUST87"/>
    <x v="3"/>
    <x v="3"/>
    <s v="Chair"/>
    <n v="6"/>
    <n v="1663"/>
    <n v="9978"/>
    <n v="2651.5"/>
    <n v="376.31529323024699"/>
  </r>
  <r>
    <s v="ORD1052"/>
    <x v="49"/>
    <s v="CUST59"/>
    <x v="0"/>
    <x v="3"/>
    <s v="Table"/>
    <n v="3"/>
    <n v="3615"/>
    <n v="10845"/>
    <n v="2521.5500000000002"/>
    <n v="430.09260177271915"/>
  </r>
  <r>
    <s v="ORD1053"/>
    <x v="50"/>
    <s v="CUST78"/>
    <x v="1"/>
    <x v="3"/>
    <s v="Sofa"/>
    <n v="7"/>
    <n v="210"/>
    <n v="1470"/>
    <n v="235.38"/>
    <n v="624.52204945195012"/>
  </r>
  <r>
    <s v="ORD1054"/>
    <x v="51"/>
    <s v="CUST92"/>
    <x v="0"/>
    <x v="2"/>
    <s v="Smartphone"/>
    <n v="3"/>
    <n v="2068"/>
    <n v="6204"/>
    <n v="2283.9"/>
    <n v="271.64061473794823"/>
  </r>
  <r>
    <s v="ORD1055"/>
    <x v="4"/>
    <s v="CUST17"/>
    <x v="1"/>
    <x v="1"/>
    <s v="Jeans"/>
    <n v="8"/>
    <n v="1084"/>
    <n v="8672"/>
    <n v="1013.79"/>
    <n v="855.40397912782726"/>
  </r>
  <r>
    <s v="ORD1056"/>
    <x v="52"/>
    <s v="CUST51"/>
    <x v="1"/>
    <x v="3"/>
    <s v="Bookshelf"/>
    <n v="4"/>
    <n v="3764"/>
    <n v="15056"/>
    <n v="2889.74"/>
    <n v="521.01573151909872"/>
  </r>
  <r>
    <s v="ORD1057"/>
    <x v="35"/>
    <s v="CUST56"/>
    <x v="2"/>
    <x v="0"/>
    <s v="Face Cream"/>
    <n v="1"/>
    <n v="1589"/>
    <n v="1589"/>
    <n v="231.33"/>
    <n v="686.89750572774824"/>
  </r>
  <r>
    <s v="ORD1058"/>
    <x v="53"/>
    <s v="CUST137"/>
    <x v="0"/>
    <x v="1"/>
    <s v="Dress"/>
    <n v="4"/>
    <n v="3601"/>
    <n v="14404"/>
    <n v="1880.42"/>
    <n v="765.99908531072845"/>
  </r>
  <r>
    <s v="ORD1059"/>
    <x v="54"/>
    <s v="CUST90"/>
    <x v="2"/>
    <x v="1"/>
    <s v="Jacket"/>
    <n v="7"/>
    <n v="4521"/>
    <n v="31647"/>
    <n v="3211.92"/>
    <n v="985.29851303892997"/>
  </r>
  <r>
    <s v="ORD1060"/>
    <x v="55"/>
    <s v="CUST116"/>
    <x v="0"/>
    <x v="3"/>
    <s v="Bookshelf"/>
    <n v="4"/>
    <n v="1024"/>
    <n v="4096"/>
    <n v="1028.72"/>
    <n v="398.16470954195501"/>
  </r>
  <r>
    <s v="ORD1061"/>
    <x v="56"/>
    <s v="CUST40"/>
    <x v="0"/>
    <x v="2"/>
    <s v="Laptop"/>
    <n v="6"/>
    <n v="2465"/>
    <n v="14790"/>
    <n v="4900.7700000000004"/>
    <n v="301.78931065934535"/>
  </r>
  <r>
    <s v="ORD1062"/>
    <x v="11"/>
    <s v="CUST42"/>
    <x v="2"/>
    <x v="3"/>
    <s v="Bed"/>
    <n v="9"/>
    <n v="1136"/>
    <n v="10224"/>
    <n v="1335.28"/>
    <n v="765.68210412797316"/>
  </r>
  <r>
    <s v="ORD1063"/>
    <x v="57"/>
    <s v="CUST10"/>
    <x v="2"/>
    <x v="2"/>
    <s v="Laptop"/>
    <n v="1"/>
    <n v="3000"/>
    <n v="3000"/>
    <n v="585.42999999999995"/>
    <n v="512.44384469535214"/>
  </r>
  <r>
    <s v="ORD1064"/>
    <x v="58"/>
    <s v="CUST52"/>
    <x v="0"/>
    <x v="0"/>
    <s v="Perfume"/>
    <n v="5"/>
    <n v="2753"/>
    <n v="13765"/>
    <n v="3500.73"/>
    <n v="393.20370322761249"/>
  </r>
  <r>
    <s v="ORD1065"/>
    <x v="59"/>
    <s v="CUST13"/>
    <x v="3"/>
    <x v="1"/>
    <s v="Dress"/>
    <n v="7"/>
    <n v="4045"/>
    <n v="28315"/>
    <n v="3787.94"/>
    <n v="747.50392033664741"/>
  </r>
  <r>
    <s v="ORD1066"/>
    <x v="60"/>
    <s v="CUST49"/>
    <x v="1"/>
    <x v="0"/>
    <s v="Lipstick"/>
    <n v="1"/>
    <n v="1996"/>
    <n v="1996"/>
    <n v="384.83"/>
    <n v="518.67058181534708"/>
  </r>
  <r>
    <s v="ORD1067"/>
    <x v="61"/>
    <s v="CUST20"/>
    <x v="2"/>
    <x v="2"/>
    <s v="Tablet"/>
    <n v="4"/>
    <n v="253"/>
    <n v="1012"/>
    <n v="345.93"/>
    <n v="292.54473448385511"/>
  </r>
  <r>
    <s v="ORD1068"/>
    <x v="62"/>
    <s v="CUST121"/>
    <x v="1"/>
    <x v="2"/>
    <s v="Tablet"/>
    <n v="6"/>
    <n v="926"/>
    <n v="5556"/>
    <n v="2028.9"/>
    <n v="273.84296909655478"/>
  </r>
  <r>
    <s v="ORD1069"/>
    <x v="63"/>
    <s v="CUST97"/>
    <x v="3"/>
    <x v="0"/>
    <s v="Shampoo"/>
    <n v="2"/>
    <n v="2936"/>
    <n v="5872"/>
    <n v="1490.02"/>
    <n v="394.0886699507389"/>
  </r>
  <r>
    <s v="ORD1070"/>
    <x v="64"/>
    <s v="CUST37"/>
    <x v="3"/>
    <x v="2"/>
    <s v="Smartwatch"/>
    <n v="5"/>
    <n v="3370"/>
    <n v="16850"/>
    <n v="5347.41"/>
    <n v="315.10581758271763"/>
  </r>
  <r>
    <s v="ORD1071"/>
    <x v="65"/>
    <s v="CUST76"/>
    <x v="3"/>
    <x v="0"/>
    <s v="Lipstick"/>
    <n v="1"/>
    <n v="2113"/>
    <n v="2113"/>
    <n v="567.16999999999996"/>
    <n v="372.5514396036462"/>
  </r>
  <r>
    <s v="ORD1072"/>
    <x v="42"/>
    <s v="CUST71"/>
    <x v="2"/>
    <x v="1"/>
    <s v="Jacket"/>
    <n v="6"/>
    <n v="1796"/>
    <n v="10776"/>
    <n v="3345.25"/>
    <n v="322.12839100216723"/>
  </r>
  <r>
    <s v="ORD1073"/>
    <x v="66"/>
    <s v="CUST117"/>
    <x v="3"/>
    <x v="0"/>
    <s v="Lotion"/>
    <n v="6"/>
    <n v="2114"/>
    <n v="12684"/>
    <n v="2085"/>
    <n v="608.34532374100718"/>
  </r>
  <r>
    <s v="ORD1074"/>
    <x v="67"/>
    <s v="CUST32"/>
    <x v="2"/>
    <x v="1"/>
    <s v="Jeans"/>
    <n v="4"/>
    <n v="2666"/>
    <n v="10664"/>
    <n v="3030.04"/>
    <n v="351.94254861321963"/>
  </r>
  <r>
    <s v="ORD1075"/>
    <x v="68"/>
    <s v="CUST110"/>
    <x v="3"/>
    <x v="0"/>
    <s v="Shampoo"/>
    <n v="8"/>
    <n v="2937"/>
    <n v="23496"/>
    <n v="7770.51"/>
    <n v="302.37397545334863"/>
  </r>
  <r>
    <s v="ORD1076"/>
    <x v="69"/>
    <s v="CUST81"/>
    <x v="1"/>
    <x v="2"/>
    <s v="Headphones"/>
    <n v="4"/>
    <n v="1049"/>
    <n v="4196"/>
    <n v="1404.95"/>
    <n v="298.65831524253531"/>
  </r>
  <r>
    <s v="ORD1077"/>
    <x v="70"/>
    <s v="CUST61"/>
    <x v="1"/>
    <x v="0"/>
    <s v="Face Cream"/>
    <n v="8"/>
    <n v="2309"/>
    <n v="18472"/>
    <n v="1999.69"/>
    <n v="923.74318019292991"/>
  </r>
  <r>
    <s v="ORD1078"/>
    <x v="71"/>
    <s v="CUST73"/>
    <x v="0"/>
    <x v="2"/>
    <s v="Smartwatch"/>
    <n v="8"/>
    <n v="202"/>
    <n v="1616"/>
    <n v="621.01"/>
    <n v="260.22125247580556"/>
  </r>
  <r>
    <s v="ORD1079"/>
    <x v="72"/>
    <s v="CUST89"/>
    <x v="1"/>
    <x v="0"/>
    <s v="Lotion"/>
    <n v="5"/>
    <n v="4455"/>
    <n v="22275"/>
    <n v="8210.09"/>
    <n v="271.31249474731703"/>
  </r>
  <r>
    <s v="ORD1080"/>
    <x v="73"/>
    <s v="CUST123"/>
    <x v="0"/>
    <x v="0"/>
    <s v="Lipstick"/>
    <n v="4"/>
    <n v="4269"/>
    <n v="17076"/>
    <n v="4643.13"/>
    <n v="367.76915572038689"/>
  </r>
  <r>
    <s v="ORD1081"/>
    <x v="23"/>
    <s v="CUST126"/>
    <x v="1"/>
    <x v="3"/>
    <s v="Table"/>
    <n v="2"/>
    <n v="1092"/>
    <n v="2184"/>
    <n v="623.46"/>
    <n v="350.30314695409487"/>
  </r>
  <r>
    <s v="ORD1082"/>
    <x v="74"/>
    <s v="CUST132"/>
    <x v="2"/>
    <x v="2"/>
    <s v="Tablet"/>
    <n v="3"/>
    <n v="2230"/>
    <n v="6690"/>
    <n v="1558.93"/>
    <n v="429.14050021489095"/>
  </r>
  <r>
    <s v="ORD1083"/>
    <x v="75"/>
    <s v="CUST104"/>
    <x v="1"/>
    <x v="3"/>
    <s v="Bed"/>
    <n v="3"/>
    <n v="3360"/>
    <n v="10080"/>
    <n v="2454.44"/>
    <n v="410.68431088150453"/>
  </r>
  <r>
    <s v="ORD1084"/>
    <x v="76"/>
    <s v="CUST139"/>
    <x v="0"/>
    <x v="2"/>
    <s v="Smartwatch"/>
    <n v="4"/>
    <n v="2576"/>
    <n v="10304"/>
    <n v="2756.26"/>
    <n v="373.83991350598274"/>
  </r>
  <r>
    <s v="ORD1085"/>
    <x v="77"/>
    <s v="CUST104"/>
    <x v="0"/>
    <x v="3"/>
    <s v="Chair"/>
    <n v="4"/>
    <n v="4875"/>
    <n v="19500"/>
    <n v="7271.19"/>
    <n v="268.18168690406935"/>
  </r>
  <r>
    <s v="ORD1086"/>
    <x v="78"/>
    <s v="CUST11"/>
    <x v="3"/>
    <x v="1"/>
    <s v="T-Shirt"/>
    <n v="5"/>
    <n v="2133"/>
    <n v="10665"/>
    <n v="2416.23"/>
    <n v="441.39009945245277"/>
  </r>
  <r>
    <s v="ORD1087"/>
    <x v="79"/>
    <s v="CUST1"/>
    <x v="2"/>
    <x v="0"/>
    <s v="Shampoo"/>
    <n v="4"/>
    <n v="1580"/>
    <n v="6320"/>
    <n v="1931.39"/>
    <n v="327.22546973941047"/>
  </r>
  <r>
    <s v="ORD1088"/>
    <x v="80"/>
    <s v="CUST70"/>
    <x v="1"/>
    <x v="2"/>
    <s v="Smartwatch"/>
    <n v="8"/>
    <n v="3881"/>
    <n v="31048"/>
    <n v="9687.61"/>
    <n v="320.49184473776296"/>
  </r>
  <r>
    <s v="ORD1089"/>
    <x v="81"/>
    <s v="CUST121"/>
    <x v="3"/>
    <x v="2"/>
    <s v="Tablet"/>
    <n v="6"/>
    <n v="1490"/>
    <n v="8940"/>
    <n v="3154.25"/>
    <n v="283.4271221367996"/>
  </r>
  <r>
    <s v="ORD1090"/>
    <x v="78"/>
    <s v="CUST19"/>
    <x v="1"/>
    <x v="0"/>
    <s v="Perfume"/>
    <n v="6"/>
    <n v="1840"/>
    <n v="11040"/>
    <n v="1199.3499999999999"/>
    <n v="920.49860341018052"/>
  </r>
  <r>
    <s v="ORD1091"/>
    <x v="31"/>
    <s v="CUST10"/>
    <x v="1"/>
    <x v="2"/>
    <s v="Tablet"/>
    <n v="8"/>
    <n v="2882"/>
    <n v="23056"/>
    <n v="4700.67"/>
    <n v="490.48327153363243"/>
  </r>
  <r>
    <s v="ORD1092"/>
    <x v="17"/>
    <s v="CUST145"/>
    <x v="3"/>
    <x v="2"/>
    <s v="Laptop"/>
    <n v="7"/>
    <n v="1187"/>
    <n v="8309"/>
    <n v="1840.92"/>
    <n v="451.35041175064646"/>
  </r>
  <r>
    <s v="ORD1093"/>
    <x v="22"/>
    <s v="CUST89"/>
    <x v="3"/>
    <x v="3"/>
    <s v="Chair"/>
    <n v="8"/>
    <n v="1418"/>
    <n v="11344"/>
    <n v="2004.78"/>
    <n v="565.84762417821401"/>
  </r>
  <r>
    <s v="ORD1094"/>
    <x v="82"/>
    <s v="CUST75"/>
    <x v="3"/>
    <x v="2"/>
    <s v="Laptop"/>
    <n v="2"/>
    <n v="1555"/>
    <n v="3110"/>
    <n v="1203.57"/>
    <n v="258.39793281653749"/>
  </r>
  <r>
    <s v="ORD1095"/>
    <x v="83"/>
    <s v="CUST138"/>
    <x v="3"/>
    <x v="1"/>
    <s v="Dress"/>
    <n v="9"/>
    <n v="4465"/>
    <n v="40185"/>
    <n v="4429.38"/>
    <n v="907.23758178345497"/>
  </r>
  <r>
    <s v="ORD1096"/>
    <x v="84"/>
    <s v="CUST82"/>
    <x v="3"/>
    <x v="1"/>
    <s v="Jeans"/>
    <n v="1"/>
    <n v="4816"/>
    <n v="4816"/>
    <n v="648.24"/>
    <n v="742.93471553745519"/>
  </r>
  <r>
    <s v="ORD1097"/>
    <x v="9"/>
    <s v="CUST118"/>
    <x v="1"/>
    <x v="0"/>
    <s v="Lipstick"/>
    <n v="8"/>
    <n v="4335"/>
    <n v="34680"/>
    <n v="3667.85"/>
    <n v="945.51303897378568"/>
  </r>
  <r>
    <s v="ORD1098"/>
    <x v="85"/>
    <s v="CUST101"/>
    <x v="3"/>
    <x v="2"/>
    <s v="Smartwatch"/>
    <n v="4"/>
    <n v="1760"/>
    <n v="7040"/>
    <n v="1295.69"/>
    <n v="543.33984209185837"/>
  </r>
  <r>
    <s v="ORD1099"/>
    <x v="86"/>
    <s v="CUST122"/>
    <x v="2"/>
    <x v="0"/>
    <s v="Face Cream"/>
    <n v="4"/>
    <n v="1618"/>
    <n v="6472"/>
    <n v="2023.64"/>
    <n v="319.81973078215492"/>
  </r>
  <r>
    <s v="ORD1100"/>
    <x v="87"/>
    <s v="CUST78"/>
    <x v="0"/>
    <x v="1"/>
    <s v="Dress"/>
    <n v="5"/>
    <n v="1154"/>
    <n v="5770"/>
    <n v="2070.0300000000002"/>
    <n v="278.73992164364768"/>
  </r>
  <r>
    <s v="ORD1101"/>
    <x v="59"/>
    <s v="CUST131"/>
    <x v="3"/>
    <x v="2"/>
    <s v="Smartwatch"/>
    <n v="8"/>
    <n v="1183"/>
    <n v="9464"/>
    <n v="3686.98"/>
    <n v="256.68704468155511"/>
  </r>
  <r>
    <s v="ORD1102"/>
    <x v="74"/>
    <s v="CUST11"/>
    <x v="3"/>
    <x v="2"/>
    <s v="Smartwatch"/>
    <n v="5"/>
    <n v="1174"/>
    <n v="5870"/>
    <n v="1487.11"/>
    <n v="394.72533975294363"/>
  </r>
  <r>
    <s v="ORD1103"/>
    <x v="31"/>
    <s v="CUST107"/>
    <x v="1"/>
    <x v="0"/>
    <s v="Shampoo"/>
    <n v="8"/>
    <n v="4333"/>
    <n v="34664"/>
    <n v="9812.01"/>
    <n v="353.28133583231158"/>
  </r>
  <r>
    <s v="ORD1104"/>
    <x v="88"/>
    <s v="CUST127"/>
    <x v="3"/>
    <x v="1"/>
    <s v="Shoes"/>
    <n v="1"/>
    <n v="4172"/>
    <n v="4172"/>
    <n v="1366.03"/>
    <n v="305.41056931399748"/>
  </r>
  <r>
    <s v="ORD1105"/>
    <x v="89"/>
    <s v="CUST136"/>
    <x v="3"/>
    <x v="2"/>
    <s v="Smartwatch"/>
    <n v="9"/>
    <n v="1113"/>
    <n v="10017"/>
    <n v="3518.26"/>
    <n v="284.71460324137496"/>
  </r>
  <r>
    <s v="ORD1106"/>
    <x v="90"/>
    <s v="CUST101"/>
    <x v="3"/>
    <x v="0"/>
    <s v="Lipstick"/>
    <n v="6"/>
    <n v="4749"/>
    <n v="28494"/>
    <n v="6614.56"/>
    <n v="430.77695266200618"/>
  </r>
  <r>
    <s v="ORD1107"/>
    <x v="91"/>
    <s v="CUST7"/>
    <x v="1"/>
    <x v="1"/>
    <s v="Jacket"/>
    <n v="3"/>
    <n v="236"/>
    <n v="708"/>
    <n v="210.15"/>
    <n v="336.90221270521056"/>
  </r>
  <r>
    <s v="ORD1108"/>
    <x v="92"/>
    <s v="CUST95"/>
    <x v="3"/>
    <x v="0"/>
    <s v="Shampoo"/>
    <n v="8"/>
    <n v="3587"/>
    <n v="28696"/>
    <n v="10340.64"/>
    <n v="277.5070015008742"/>
  </r>
  <r>
    <s v="ORD1109"/>
    <x v="93"/>
    <s v="CUST133"/>
    <x v="0"/>
    <x v="3"/>
    <s v="Bed"/>
    <n v="9"/>
    <n v="1911"/>
    <n v="17199"/>
    <n v="5142.83"/>
    <n v="334.42676503014877"/>
  </r>
  <r>
    <s v="ORD1110"/>
    <x v="94"/>
    <s v="CUST30"/>
    <x v="1"/>
    <x v="2"/>
    <s v="Laptop"/>
    <n v="6"/>
    <n v="3220"/>
    <n v="19320"/>
    <n v="3273.51"/>
    <n v="590.19217903718027"/>
  </r>
  <r>
    <s v="ORD1111"/>
    <x v="95"/>
    <s v="CUST12"/>
    <x v="0"/>
    <x v="3"/>
    <s v="Table"/>
    <n v="7"/>
    <n v="995"/>
    <n v="6965"/>
    <n v="2687.28"/>
    <n v="259.18400762108894"/>
  </r>
  <r>
    <s v="ORD1112"/>
    <x v="29"/>
    <s v="CUST58"/>
    <x v="1"/>
    <x v="1"/>
    <s v="T-Shirt"/>
    <n v="1"/>
    <n v="4236"/>
    <n v="4236"/>
    <n v="840.91"/>
    <n v="503.73999595676116"/>
  </r>
  <r>
    <s v="ORD1113"/>
    <x v="71"/>
    <s v="CUST144"/>
    <x v="3"/>
    <x v="3"/>
    <s v="Chair"/>
    <n v="5"/>
    <n v="4888"/>
    <n v="24440"/>
    <n v="7741.8"/>
    <n v="315.68885788834638"/>
  </r>
  <r>
    <s v="ORD1114"/>
    <x v="26"/>
    <s v="CUST15"/>
    <x v="0"/>
    <x v="3"/>
    <s v="Chair"/>
    <n v="5"/>
    <n v="3311"/>
    <n v="16555"/>
    <n v="5712.29"/>
    <n v="289.81371744081616"/>
  </r>
  <r>
    <s v="ORD1115"/>
    <x v="96"/>
    <s v="CUST1"/>
    <x v="1"/>
    <x v="1"/>
    <s v="Dress"/>
    <n v="4"/>
    <n v="1524"/>
    <n v="6096"/>
    <n v="1315.09"/>
    <n v="463.54241915002018"/>
  </r>
  <r>
    <s v="ORD1116"/>
    <x v="97"/>
    <s v="CUST31"/>
    <x v="2"/>
    <x v="0"/>
    <s v="Shampoo"/>
    <n v="6"/>
    <n v="517"/>
    <n v="3102"/>
    <n v="1005.47"/>
    <n v="308.51243696977531"/>
  </r>
  <r>
    <s v="ORD1117"/>
    <x v="30"/>
    <s v="CUST108"/>
    <x v="3"/>
    <x v="3"/>
    <s v="Chair"/>
    <n v="7"/>
    <n v="2596"/>
    <n v="18172"/>
    <n v="2523.44"/>
    <n v="720.12807913007646"/>
  </r>
  <r>
    <s v="ORD1118"/>
    <x v="98"/>
    <s v="CUST145"/>
    <x v="1"/>
    <x v="0"/>
    <s v="Shampoo"/>
    <n v="9"/>
    <n v="2362"/>
    <n v="21258"/>
    <n v="4163.21"/>
    <n v="510.61560670732445"/>
  </r>
  <r>
    <s v="ORD1119"/>
    <x v="99"/>
    <s v="CUST78"/>
    <x v="2"/>
    <x v="3"/>
    <s v="Bed"/>
    <n v="1"/>
    <n v="2945"/>
    <n v="2945"/>
    <n v="411.52"/>
    <n v="715.63958009331259"/>
  </r>
  <r>
    <s v="ORD1120"/>
    <x v="100"/>
    <s v="CUST133"/>
    <x v="1"/>
    <x v="0"/>
    <s v="Lotion"/>
    <n v="6"/>
    <n v="1791"/>
    <n v="10746"/>
    <n v="1273.82"/>
    <n v="843.60427689940491"/>
  </r>
  <r>
    <s v="ORD1121"/>
    <x v="101"/>
    <s v="CUST29"/>
    <x v="2"/>
    <x v="1"/>
    <s v="Shoes"/>
    <n v="7"/>
    <n v="3311"/>
    <n v="23177"/>
    <n v="7544.05"/>
    <n v="307.22224799676565"/>
  </r>
  <r>
    <s v="ORD1122"/>
    <x v="47"/>
    <s v="CUST61"/>
    <x v="3"/>
    <x v="3"/>
    <s v="Bed"/>
    <n v="3"/>
    <n v="4130"/>
    <n v="12390"/>
    <n v="4113.51"/>
    <n v="301.20262257779848"/>
  </r>
  <r>
    <s v="ORD1123"/>
    <x v="102"/>
    <s v="CUST107"/>
    <x v="0"/>
    <x v="1"/>
    <s v="Dress"/>
    <n v="8"/>
    <n v="2196"/>
    <n v="17568"/>
    <n v="3466.95"/>
    <n v="506.72781551507808"/>
  </r>
  <r>
    <s v="ORD1124"/>
    <x v="103"/>
    <s v="CUST94"/>
    <x v="2"/>
    <x v="3"/>
    <s v="Table"/>
    <n v="5"/>
    <n v="1512"/>
    <n v="7560"/>
    <n v="1107.29"/>
    <n v="682.74797026975773"/>
  </r>
  <r>
    <s v="ORD1125"/>
    <x v="104"/>
    <s v="CUST66"/>
    <x v="1"/>
    <x v="1"/>
    <s v="Shoes"/>
    <n v="9"/>
    <n v="1485"/>
    <n v="13365"/>
    <n v="1563.33"/>
    <n v="854.9058739997314"/>
  </r>
  <r>
    <s v="ORD1126"/>
    <x v="105"/>
    <s v="CUST140"/>
    <x v="3"/>
    <x v="1"/>
    <s v="Shoes"/>
    <n v="5"/>
    <n v="4511"/>
    <n v="22555"/>
    <n v="6381.92"/>
    <n v="353.42028731165544"/>
  </r>
  <r>
    <s v="ORD1127"/>
    <x v="106"/>
    <s v="CUST59"/>
    <x v="2"/>
    <x v="3"/>
    <s v="Table"/>
    <n v="9"/>
    <n v="2583"/>
    <n v="23247"/>
    <n v="5086.21"/>
    <n v="457.0593821332584"/>
  </r>
  <r>
    <s v="ORD1128"/>
    <x v="107"/>
    <s v="CUST32"/>
    <x v="1"/>
    <x v="3"/>
    <s v="Table"/>
    <n v="4"/>
    <n v="3439"/>
    <n v="13756"/>
    <n v="3405.69"/>
    <n v="403.91227622009052"/>
  </r>
  <r>
    <s v="ORD1129"/>
    <x v="108"/>
    <s v="CUST59"/>
    <x v="1"/>
    <x v="3"/>
    <s v="Bed"/>
    <n v="9"/>
    <n v="2339"/>
    <n v="21051"/>
    <n v="6065.55"/>
    <n v="347.0583871207063"/>
  </r>
  <r>
    <s v="ORD1130"/>
    <x v="109"/>
    <s v="CUST2"/>
    <x v="1"/>
    <x v="2"/>
    <s v="Smartphone"/>
    <n v="5"/>
    <n v="1904"/>
    <n v="9520"/>
    <n v="3654.43"/>
    <n v="260.5057423455915"/>
  </r>
  <r>
    <s v="ORD1131"/>
    <x v="17"/>
    <s v="CUST97"/>
    <x v="2"/>
    <x v="0"/>
    <s v="Lipstick"/>
    <n v="9"/>
    <n v="562"/>
    <n v="5058"/>
    <n v="1716.9"/>
    <n v="294.60073388083174"/>
  </r>
  <r>
    <s v="ORD1132"/>
    <x v="80"/>
    <s v="CUST74"/>
    <x v="2"/>
    <x v="2"/>
    <s v="Tablet"/>
    <n v="3"/>
    <n v="2804"/>
    <n v="8412"/>
    <n v="2288.04"/>
    <n v="367.65091519379035"/>
  </r>
  <r>
    <s v="ORD1133"/>
    <x v="47"/>
    <s v="CUST30"/>
    <x v="2"/>
    <x v="2"/>
    <s v="Smartwatch"/>
    <n v="4"/>
    <n v="1916"/>
    <n v="7664"/>
    <n v="1249.29"/>
    <n v="613.46845007964521"/>
  </r>
  <r>
    <s v="ORD1134"/>
    <x v="110"/>
    <s v="CUST4"/>
    <x v="0"/>
    <x v="1"/>
    <s v="T-Shirt"/>
    <n v="9"/>
    <n v="4651"/>
    <n v="41859"/>
    <n v="11398.75"/>
    <n v="367.22447636802281"/>
  </r>
  <r>
    <s v="ORD1135"/>
    <x v="71"/>
    <s v="CUST63"/>
    <x v="2"/>
    <x v="3"/>
    <s v="Bed"/>
    <n v="6"/>
    <n v="4486"/>
    <n v="26916"/>
    <n v="9395.34"/>
    <n v="286.48244768151022"/>
  </r>
  <r>
    <s v="ORD1136"/>
    <x v="111"/>
    <s v="CUST12"/>
    <x v="2"/>
    <x v="0"/>
    <s v="Shampoo"/>
    <n v="2"/>
    <n v="3938"/>
    <n v="7876"/>
    <n v="861.61"/>
    <n v="914.10266826058194"/>
  </r>
  <r>
    <s v="ORD1137"/>
    <x v="112"/>
    <s v="CUST143"/>
    <x v="2"/>
    <x v="1"/>
    <s v="T-Shirt"/>
    <n v="7"/>
    <n v="2669"/>
    <n v="18683"/>
    <n v="4972.29"/>
    <n v="375.74236418229827"/>
  </r>
  <r>
    <s v="ORD1138"/>
    <x v="3"/>
    <s v="CUST146"/>
    <x v="0"/>
    <x v="2"/>
    <s v="Laptop"/>
    <n v="2"/>
    <n v="4995"/>
    <n v="9990"/>
    <n v="1852.95"/>
    <n v="539.14028980814373"/>
  </r>
  <r>
    <s v="ORD1139"/>
    <x v="78"/>
    <s v="CUST27"/>
    <x v="2"/>
    <x v="3"/>
    <s v="Chair"/>
    <n v="2"/>
    <n v="756"/>
    <n v="1512"/>
    <n v="463.28"/>
    <n v="326.36850284924884"/>
  </r>
  <r>
    <s v="ORD1140"/>
    <x v="113"/>
    <s v="CUST21"/>
    <x v="1"/>
    <x v="1"/>
    <s v="Dress"/>
    <n v="1"/>
    <n v="1025"/>
    <n v="1025"/>
    <n v="319.39999999999998"/>
    <n v="320.91421415153417"/>
  </r>
  <r>
    <s v="ORD1141"/>
    <x v="7"/>
    <s v="CUST117"/>
    <x v="2"/>
    <x v="3"/>
    <s v="Bed"/>
    <n v="3"/>
    <n v="3008"/>
    <n v="9024"/>
    <n v="1146.6099999999999"/>
    <n v="787.01563740068559"/>
  </r>
  <r>
    <s v="ORD1142"/>
    <x v="53"/>
    <s v="CUST108"/>
    <x v="1"/>
    <x v="1"/>
    <s v="Dress"/>
    <n v="6"/>
    <n v="4721"/>
    <n v="28326"/>
    <n v="5537.95"/>
    <n v="511.48890835056295"/>
  </r>
  <r>
    <s v="ORD1143"/>
    <x v="114"/>
    <s v="CUST130"/>
    <x v="1"/>
    <x v="3"/>
    <s v="Bed"/>
    <n v="8"/>
    <n v="2919"/>
    <n v="23352"/>
    <n v="3497.92"/>
    <n v="667.5967432073918"/>
  </r>
  <r>
    <s v="ORD1144"/>
    <x v="115"/>
    <s v="CUST64"/>
    <x v="1"/>
    <x v="2"/>
    <s v="Smartwatch"/>
    <n v="9"/>
    <n v="3708"/>
    <n v="33372"/>
    <n v="7574.44"/>
    <n v="440.58702689571777"/>
  </r>
  <r>
    <s v="ORD1145"/>
    <x v="116"/>
    <s v="CUST125"/>
    <x v="0"/>
    <x v="0"/>
    <s v="Face Cream"/>
    <n v="7"/>
    <n v="3941"/>
    <n v="27587"/>
    <n v="3342.79"/>
    <n v="825.26871266217745"/>
  </r>
  <r>
    <s v="ORD1146"/>
    <x v="117"/>
    <s v="CUST44"/>
    <x v="0"/>
    <x v="2"/>
    <s v="Headphones"/>
    <n v="4"/>
    <n v="1774"/>
    <n v="7096"/>
    <n v="2300.59"/>
    <n v="308.44261689392721"/>
  </r>
  <r>
    <s v="ORD1147"/>
    <x v="118"/>
    <s v="CUST38"/>
    <x v="0"/>
    <x v="0"/>
    <s v="Face Cream"/>
    <n v="6"/>
    <n v="4198"/>
    <n v="25188"/>
    <n v="5660.93"/>
    <n v="444.94455857959736"/>
  </r>
  <r>
    <s v="ORD1148"/>
    <x v="119"/>
    <s v="CUST138"/>
    <x v="2"/>
    <x v="3"/>
    <s v="Table"/>
    <n v="5"/>
    <n v="2329"/>
    <n v="11645"/>
    <n v="4144.32"/>
    <n v="280.98698942166629"/>
  </r>
  <r>
    <s v="ORD1149"/>
    <x v="79"/>
    <s v="CUST129"/>
    <x v="1"/>
    <x v="1"/>
    <s v="Jacket"/>
    <n v="8"/>
    <n v="2603"/>
    <n v="20824"/>
    <n v="5139.26"/>
    <n v="405.19452216856121"/>
  </r>
  <r>
    <s v="ORD1150"/>
    <x v="120"/>
    <s v="CUST104"/>
    <x v="0"/>
    <x v="2"/>
    <s v="Smartwatch"/>
    <n v="1"/>
    <n v="3529"/>
    <n v="3529"/>
    <n v="779.06"/>
    <n v="452.98179857777325"/>
  </r>
  <r>
    <s v="ORD1151"/>
    <x v="121"/>
    <s v="CUST97"/>
    <x v="0"/>
    <x v="0"/>
    <s v="Perfume"/>
    <n v="1"/>
    <n v="788"/>
    <n v="788"/>
    <n v="196.01"/>
    <n v="402.02030508647522"/>
  </r>
  <r>
    <s v="ORD1152"/>
    <x v="122"/>
    <s v="CUST76"/>
    <x v="2"/>
    <x v="2"/>
    <s v="Smartphone"/>
    <n v="6"/>
    <n v="2212"/>
    <n v="13272"/>
    <n v="5023.18"/>
    <n v="264.21509880195413"/>
  </r>
  <r>
    <s v="ORD1153"/>
    <x v="78"/>
    <s v="CUST83"/>
    <x v="0"/>
    <x v="0"/>
    <s v="Lotion"/>
    <n v="2"/>
    <n v="1747"/>
    <n v="3494"/>
    <n v="1068.47"/>
    <n v="327.00964931163253"/>
  </r>
  <r>
    <s v="ORD1154"/>
    <x v="123"/>
    <s v="CUST134"/>
    <x v="2"/>
    <x v="2"/>
    <s v="Smartphone"/>
    <n v="5"/>
    <n v="494"/>
    <n v="2470"/>
    <n v="504.45"/>
    <n v="489.64218455743884"/>
  </r>
  <r>
    <s v="ORD1155"/>
    <x v="124"/>
    <s v="CUST57"/>
    <x v="3"/>
    <x v="0"/>
    <s v="Shampoo"/>
    <n v="1"/>
    <n v="2185"/>
    <n v="2185"/>
    <n v="498.7"/>
    <n v="438.13916182073393"/>
  </r>
  <r>
    <s v="ORD1156"/>
    <x v="43"/>
    <s v="CUST71"/>
    <x v="0"/>
    <x v="0"/>
    <s v="Face Cream"/>
    <n v="7"/>
    <n v="3317"/>
    <n v="23219"/>
    <n v="7873.05"/>
    <n v="294.91747162789517"/>
  </r>
  <r>
    <s v="ORD1157"/>
    <x v="49"/>
    <s v="CUST17"/>
    <x v="3"/>
    <x v="3"/>
    <s v="Bookshelf"/>
    <n v="1"/>
    <n v="1890"/>
    <n v="1890"/>
    <n v="727.2"/>
    <n v="259.90099009900985"/>
  </r>
  <r>
    <s v="ORD1158"/>
    <x v="86"/>
    <s v="CUST6"/>
    <x v="2"/>
    <x v="0"/>
    <s v="Perfume"/>
    <n v="4"/>
    <n v="1336"/>
    <n v="5344"/>
    <n v="782.99"/>
    <n v="682.51190947521673"/>
  </r>
  <r>
    <s v="ORD1159"/>
    <x v="47"/>
    <s v="CUST76"/>
    <x v="1"/>
    <x v="3"/>
    <s v="Chair"/>
    <n v="9"/>
    <n v="2264"/>
    <n v="20376"/>
    <n v="6897.26"/>
    <n v="295.42166019549791"/>
  </r>
  <r>
    <s v="ORD1160"/>
    <x v="31"/>
    <s v="CUST59"/>
    <x v="0"/>
    <x v="0"/>
    <s v="Lotion"/>
    <n v="1"/>
    <n v="4655"/>
    <n v="4655"/>
    <n v="1054.3900000000001"/>
    <n v="441.48749513936963"/>
  </r>
  <r>
    <s v="ORD1161"/>
    <x v="125"/>
    <s v="CUST100"/>
    <x v="2"/>
    <x v="1"/>
    <s v="T-Shirt"/>
    <n v="4"/>
    <n v="4995"/>
    <n v="19980"/>
    <n v="2397.66"/>
    <n v="833.31247966767603"/>
  </r>
  <r>
    <s v="ORD1162"/>
    <x v="126"/>
    <s v="CUST85"/>
    <x v="1"/>
    <x v="1"/>
    <s v="Jacket"/>
    <n v="6"/>
    <n v="4743"/>
    <n v="28458"/>
    <n v="2853.82"/>
    <n v="997.18973165791806"/>
  </r>
  <r>
    <s v="ORD1163"/>
    <x v="127"/>
    <s v="CUST61"/>
    <x v="1"/>
    <x v="1"/>
    <s v="Dress"/>
    <n v="6"/>
    <n v="4970"/>
    <n v="29820"/>
    <n v="8853.83"/>
    <n v="336.80339468907806"/>
  </r>
  <r>
    <s v="ORD1164"/>
    <x v="13"/>
    <s v="CUST74"/>
    <x v="3"/>
    <x v="0"/>
    <s v="Lotion"/>
    <n v="8"/>
    <n v="1207"/>
    <n v="9656"/>
    <n v="3592.64"/>
    <n v="268.77171105370985"/>
  </r>
  <r>
    <s v="ORD1165"/>
    <x v="18"/>
    <s v="CUST95"/>
    <x v="2"/>
    <x v="3"/>
    <s v="Chair"/>
    <n v="1"/>
    <n v="2714"/>
    <n v="2714"/>
    <n v="435.46"/>
    <n v="623.24897809213246"/>
  </r>
  <r>
    <s v="ORD1166"/>
    <x v="128"/>
    <s v="CUST28"/>
    <x v="1"/>
    <x v="3"/>
    <s v="Sofa"/>
    <n v="7"/>
    <n v="3726"/>
    <n v="26082"/>
    <n v="7486.07"/>
    <n v="348.40710813551038"/>
  </r>
  <r>
    <s v="ORD1167"/>
    <x v="129"/>
    <s v="CUST77"/>
    <x v="0"/>
    <x v="0"/>
    <s v="Shampoo"/>
    <n v="1"/>
    <n v="4881"/>
    <n v="4881"/>
    <n v="853.92"/>
    <n v="571.59921304103432"/>
  </r>
  <r>
    <s v="ORD1168"/>
    <x v="88"/>
    <s v="CUST125"/>
    <x v="0"/>
    <x v="1"/>
    <s v="T-Shirt"/>
    <n v="7"/>
    <n v="1447"/>
    <n v="10129"/>
    <n v="1765.63"/>
    <n v="573.67625153627876"/>
  </r>
  <r>
    <s v="ORD1169"/>
    <x v="87"/>
    <s v="CUST52"/>
    <x v="3"/>
    <x v="1"/>
    <s v="Dress"/>
    <n v="3"/>
    <n v="4102"/>
    <n v="12306"/>
    <n v="2690.83"/>
    <n v="457.33100939115445"/>
  </r>
  <r>
    <s v="ORD1170"/>
    <x v="130"/>
    <s v="CUST37"/>
    <x v="1"/>
    <x v="3"/>
    <s v="Chair"/>
    <n v="8"/>
    <n v="1635"/>
    <n v="13080"/>
    <n v="2225.5500000000002"/>
    <n v="587.71988946552528"/>
  </r>
  <r>
    <s v="ORD1171"/>
    <x v="131"/>
    <s v="CUST79"/>
    <x v="2"/>
    <x v="1"/>
    <s v="Jeans"/>
    <n v="3"/>
    <n v="771"/>
    <n v="2313"/>
    <n v="847.36"/>
    <n v="272.96544561933536"/>
  </r>
  <r>
    <s v="ORD1172"/>
    <x v="132"/>
    <s v="CUST84"/>
    <x v="0"/>
    <x v="2"/>
    <s v="Laptop"/>
    <n v="1"/>
    <n v="2582"/>
    <n v="2582"/>
    <n v="440.84"/>
    <n v="585.70002722076038"/>
  </r>
  <r>
    <s v="ORD1173"/>
    <x v="94"/>
    <s v="CUST104"/>
    <x v="1"/>
    <x v="3"/>
    <s v="Sofa"/>
    <n v="8"/>
    <n v="1445"/>
    <n v="11560"/>
    <n v="1186.74"/>
    <n v="974.09710635859574"/>
  </r>
  <r>
    <s v="ORD1174"/>
    <x v="133"/>
    <s v="CUST16"/>
    <x v="1"/>
    <x v="1"/>
    <s v="T-Shirt"/>
    <n v="3"/>
    <n v="2284"/>
    <n v="6852"/>
    <n v="697.89"/>
    <n v="981.81661866483273"/>
  </r>
  <r>
    <s v="ORD1175"/>
    <x v="134"/>
    <s v="CUST144"/>
    <x v="3"/>
    <x v="3"/>
    <s v="Bookshelf"/>
    <n v="2"/>
    <n v="477"/>
    <n v="954"/>
    <n v="331.33"/>
    <n v="287.93046207708329"/>
  </r>
  <r>
    <s v="ORD1176"/>
    <x v="135"/>
    <s v="CUST1"/>
    <x v="0"/>
    <x v="2"/>
    <s v="Tablet"/>
    <n v="1"/>
    <n v="2087"/>
    <n v="2087"/>
    <n v="801.16"/>
    <n v="260.49727894552899"/>
  </r>
  <r>
    <s v="ORD1177"/>
    <x v="94"/>
    <s v="CUST134"/>
    <x v="0"/>
    <x v="3"/>
    <s v="Chair"/>
    <n v="3"/>
    <n v="4779"/>
    <n v="14337"/>
    <n v="1466.74"/>
    <n v="977.47385358004829"/>
  </r>
  <r>
    <s v="ORD1178"/>
    <x v="49"/>
    <s v="CUST43"/>
    <x v="2"/>
    <x v="3"/>
    <s v="Bookshelf"/>
    <n v="2"/>
    <n v="1465"/>
    <n v="2930"/>
    <n v="892.53"/>
    <n v="328.28028189528646"/>
  </r>
  <r>
    <s v="ORD1179"/>
    <x v="136"/>
    <s v="CUST148"/>
    <x v="0"/>
    <x v="3"/>
    <s v="Bookshelf"/>
    <n v="2"/>
    <n v="1240"/>
    <n v="2480"/>
    <n v="389.55"/>
    <n v="636.63201129508411"/>
  </r>
  <r>
    <s v="ORD1180"/>
    <x v="137"/>
    <s v="CUST41"/>
    <x v="2"/>
    <x v="3"/>
    <s v="Sofa"/>
    <n v="6"/>
    <n v="1117"/>
    <n v="6702"/>
    <n v="1750.23"/>
    <n v="382.92110179804939"/>
  </r>
  <r>
    <s v="ORD1181"/>
    <x v="138"/>
    <s v="CUST14"/>
    <x v="0"/>
    <x v="2"/>
    <s v="Smartwatch"/>
    <n v="1"/>
    <n v="1085"/>
    <n v="1085"/>
    <n v="250.19"/>
    <n v="433.67041048802912"/>
  </r>
  <r>
    <s v="ORD1182"/>
    <x v="139"/>
    <s v="CUST26"/>
    <x v="3"/>
    <x v="0"/>
    <s v="Face Cream"/>
    <n v="2"/>
    <n v="2952"/>
    <n v="5904"/>
    <n v="1348.79"/>
    <n v="437.72566522586914"/>
  </r>
  <r>
    <s v="ORD1183"/>
    <x v="22"/>
    <s v="CUST140"/>
    <x v="0"/>
    <x v="3"/>
    <s v="Bookshelf"/>
    <n v="6"/>
    <n v="221"/>
    <n v="1326"/>
    <n v="167.63"/>
    <n v="791.02785897512376"/>
  </r>
  <r>
    <s v="ORD1184"/>
    <x v="85"/>
    <s v="CUST21"/>
    <x v="2"/>
    <x v="3"/>
    <s v="Bookshelf"/>
    <n v="3"/>
    <n v="4769"/>
    <n v="14307"/>
    <n v="4793.58"/>
    <n v="298.46169251373709"/>
  </r>
  <r>
    <s v="ORD1185"/>
    <x v="140"/>
    <s v="CUST113"/>
    <x v="2"/>
    <x v="1"/>
    <s v="Jeans"/>
    <n v="4"/>
    <n v="3391"/>
    <n v="13564"/>
    <n v="1403.16"/>
    <n v="966.67521879186961"/>
  </r>
  <r>
    <s v="ORD1186"/>
    <x v="30"/>
    <s v="CUST43"/>
    <x v="3"/>
    <x v="3"/>
    <s v="Table"/>
    <n v="1"/>
    <n v="2553"/>
    <n v="2553"/>
    <n v="927.71"/>
    <n v="275.19375666964891"/>
  </r>
  <r>
    <s v="ORD1187"/>
    <x v="87"/>
    <s v="CUST134"/>
    <x v="0"/>
    <x v="1"/>
    <s v="Jacket"/>
    <n v="8"/>
    <n v="4999"/>
    <n v="39992"/>
    <n v="12467.95"/>
    <n v="320.75842460067611"/>
  </r>
  <r>
    <s v="ORD1188"/>
    <x v="141"/>
    <s v="CUST42"/>
    <x v="0"/>
    <x v="0"/>
    <s v="Perfume"/>
    <n v="7"/>
    <n v="886"/>
    <n v="6202"/>
    <n v="2229.58"/>
    <n v="278.16898249894598"/>
  </r>
  <r>
    <s v="ORD1189"/>
    <x v="142"/>
    <s v="CUST51"/>
    <x v="3"/>
    <x v="2"/>
    <s v="Smartwatch"/>
    <n v="7"/>
    <n v="484"/>
    <n v="3388"/>
    <n v="1352.33"/>
    <n v="250.53056576427352"/>
  </r>
  <r>
    <s v="ORD1190"/>
    <x v="138"/>
    <s v="CUST77"/>
    <x v="0"/>
    <x v="2"/>
    <s v="Laptop"/>
    <n v="3"/>
    <n v="3947"/>
    <n v="11841"/>
    <n v="1457.22"/>
    <n v="812.57462840202572"/>
  </r>
  <r>
    <s v="ORD1191"/>
    <x v="143"/>
    <s v="CUST149"/>
    <x v="0"/>
    <x v="0"/>
    <s v="Perfume"/>
    <n v="3"/>
    <n v="962"/>
    <n v="2886"/>
    <n v="712.04"/>
    <n v="405.31430818493345"/>
  </r>
  <r>
    <s v="ORD1192"/>
    <x v="144"/>
    <s v="CUST130"/>
    <x v="2"/>
    <x v="2"/>
    <s v="Headphones"/>
    <n v="2"/>
    <n v="2628"/>
    <n v="5256"/>
    <n v="931.39"/>
    <n v="564.31784751822545"/>
  </r>
  <r>
    <s v="ORD1193"/>
    <x v="145"/>
    <s v="CUST144"/>
    <x v="0"/>
    <x v="0"/>
    <s v="Face Cream"/>
    <n v="1"/>
    <n v="2707"/>
    <n v="2707"/>
    <n v="440.69"/>
    <n v="614.26399509859539"/>
  </r>
  <r>
    <s v="ORD1194"/>
    <x v="146"/>
    <s v="CUST25"/>
    <x v="0"/>
    <x v="0"/>
    <s v="Face Cream"/>
    <n v="7"/>
    <n v="228"/>
    <n v="1596"/>
    <n v="608.70000000000005"/>
    <n v="262.19812715623459"/>
  </r>
  <r>
    <s v="ORD1195"/>
    <x v="147"/>
    <s v="CUST7"/>
    <x v="3"/>
    <x v="0"/>
    <s v="Lipstick"/>
    <n v="7"/>
    <n v="1106"/>
    <n v="7742"/>
    <n v="1220.23"/>
    <n v="634.47055063389689"/>
  </r>
  <r>
    <s v="ORD1196"/>
    <x v="102"/>
    <s v="CUST27"/>
    <x v="3"/>
    <x v="2"/>
    <s v="Laptop"/>
    <n v="2"/>
    <n v="3304"/>
    <n v="6608"/>
    <n v="1886.39"/>
    <n v="350.29871871670224"/>
  </r>
  <r>
    <s v="ORD1197"/>
    <x v="148"/>
    <s v="CUST23"/>
    <x v="1"/>
    <x v="1"/>
    <s v="T-Shirt"/>
    <n v="7"/>
    <n v="4199"/>
    <n v="29393"/>
    <n v="5331.99"/>
    <n v="551.25759800749813"/>
  </r>
  <r>
    <s v="ORD1198"/>
    <x v="91"/>
    <s v="CUST5"/>
    <x v="2"/>
    <x v="0"/>
    <s v="Lotion"/>
    <n v="8"/>
    <n v="3194"/>
    <n v="25552"/>
    <n v="5723.73"/>
    <n v="446.42217574903083"/>
  </r>
  <r>
    <s v="ORD1199"/>
    <x v="149"/>
    <s v="CUST110"/>
    <x v="0"/>
    <x v="3"/>
    <s v="Bed"/>
    <n v="1"/>
    <n v="2706"/>
    <n v="2706"/>
    <n v="736.27"/>
    <n v="367.52821655099353"/>
  </r>
  <r>
    <s v="ORD1200"/>
    <x v="150"/>
    <s v="CUST100"/>
    <x v="0"/>
    <x v="2"/>
    <s v="Smartphone"/>
    <n v="9"/>
    <n v="4865"/>
    <n v="43785"/>
    <n v="8641.74"/>
    <n v="506.66879586749889"/>
  </r>
  <r>
    <s v="ORD1201"/>
    <x v="151"/>
    <s v="CUST17"/>
    <x v="1"/>
    <x v="0"/>
    <s v="Lotion"/>
    <n v="7"/>
    <n v="3809"/>
    <n v="26663"/>
    <n v="5468.26"/>
    <n v="487.59568857369618"/>
  </r>
  <r>
    <s v="ORD1202"/>
    <x v="29"/>
    <s v="CUST61"/>
    <x v="0"/>
    <x v="0"/>
    <s v="Lotion"/>
    <n v="3"/>
    <n v="3753"/>
    <n v="11259"/>
    <n v="3984.86"/>
    <n v="282.54443067008623"/>
  </r>
  <r>
    <s v="ORD1203"/>
    <x v="152"/>
    <s v="CUST53"/>
    <x v="2"/>
    <x v="3"/>
    <s v="Sofa"/>
    <n v="8"/>
    <n v="1653"/>
    <n v="13224"/>
    <n v="1586.12"/>
    <n v="833.73263057019665"/>
  </r>
  <r>
    <s v="ORD1204"/>
    <x v="153"/>
    <s v="CUST16"/>
    <x v="1"/>
    <x v="1"/>
    <s v="Jacket"/>
    <n v="7"/>
    <n v="3556"/>
    <n v="24892"/>
    <n v="4014.91"/>
    <n v="619.98899103591361"/>
  </r>
  <r>
    <s v="ORD1205"/>
    <x v="127"/>
    <s v="CUST41"/>
    <x v="2"/>
    <x v="1"/>
    <s v="Jeans"/>
    <n v="8"/>
    <n v="715"/>
    <n v="5720"/>
    <n v="1284.73"/>
    <n v="445.22973698753827"/>
  </r>
  <r>
    <s v="ORD1206"/>
    <x v="154"/>
    <s v="CUST42"/>
    <x v="1"/>
    <x v="1"/>
    <s v="Shoes"/>
    <n v="6"/>
    <n v="238"/>
    <n v="1428"/>
    <n v="507.07"/>
    <n v="281.61792257479243"/>
  </r>
  <r>
    <s v="ORD1207"/>
    <x v="155"/>
    <s v="CUST71"/>
    <x v="1"/>
    <x v="0"/>
    <s v="Perfume"/>
    <n v="9"/>
    <n v="3542"/>
    <n v="31878"/>
    <n v="6345.58"/>
    <n v="502.36542601306741"/>
  </r>
  <r>
    <s v="ORD1208"/>
    <x v="21"/>
    <s v="CUST139"/>
    <x v="3"/>
    <x v="0"/>
    <s v="Lipstick"/>
    <n v="5"/>
    <n v="1086"/>
    <n v="5430"/>
    <n v="2114.81"/>
    <n v="256.76065462145539"/>
  </r>
  <r>
    <s v="ORD1209"/>
    <x v="156"/>
    <s v="CUST49"/>
    <x v="2"/>
    <x v="0"/>
    <s v="Face Cream"/>
    <n v="3"/>
    <n v="3044"/>
    <n v="9132"/>
    <n v="1694.92"/>
    <n v="538.78649139782397"/>
  </r>
  <r>
    <s v="ORD1210"/>
    <x v="157"/>
    <s v="CUST147"/>
    <x v="0"/>
    <x v="2"/>
    <s v="Headphones"/>
    <n v="3"/>
    <n v="2404"/>
    <n v="7212"/>
    <n v="1007.07"/>
    <n v="716.13691203193412"/>
  </r>
  <r>
    <s v="ORD1211"/>
    <x v="158"/>
    <s v="CUST97"/>
    <x v="0"/>
    <x v="3"/>
    <s v="Chair"/>
    <n v="1"/>
    <n v="1298"/>
    <n v="1298"/>
    <n v="264.27999999999997"/>
    <n v="491.14575450280012"/>
  </r>
  <r>
    <s v="ORD1212"/>
    <x v="159"/>
    <s v="CUST97"/>
    <x v="2"/>
    <x v="0"/>
    <s v="Perfume"/>
    <n v="8"/>
    <n v="2023"/>
    <n v="16184"/>
    <n v="6430.07"/>
    <n v="251.69243880704255"/>
  </r>
  <r>
    <s v="ORD1213"/>
    <x v="53"/>
    <s v="CUST104"/>
    <x v="0"/>
    <x v="3"/>
    <s v="Bookshelf"/>
    <n v="2"/>
    <n v="3401"/>
    <n v="6802"/>
    <n v="895.09"/>
    <n v="759.92358310337499"/>
  </r>
  <r>
    <s v="ORD1214"/>
    <x v="97"/>
    <s v="CUST33"/>
    <x v="0"/>
    <x v="3"/>
    <s v="Bookshelf"/>
    <n v="3"/>
    <n v="3355"/>
    <n v="10065"/>
    <n v="3139.32"/>
    <n v="320.61083291923092"/>
  </r>
  <r>
    <s v="ORD1215"/>
    <x v="23"/>
    <s v="CUST91"/>
    <x v="2"/>
    <x v="1"/>
    <s v="Jeans"/>
    <n v="8"/>
    <n v="3293"/>
    <n v="26344"/>
    <n v="8941.44"/>
    <n v="294.62815832796508"/>
  </r>
  <r>
    <s v="ORD1216"/>
    <x v="160"/>
    <s v="CUST28"/>
    <x v="1"/>
    <x v="2"/>
    <s v="Headphones"/>
    <n v="8"/>
    <n v="3730"/>
    <n v="29840"/>
    <n v="11478.06"/>
    <n v="259.97424651901105"/>
  </r>
  <r>
    <s v="ORD1217"/>
    <x v="54"/>
    <s v="CUST48"/>
    <x v="2"/>
    <x v="0"/>
    <s v="Shampoo"/>
    <n v="4"/>
    <n v="3978"/>
    <n v="15912"/>
    <n v="3409.71"/>
    <n v="466.66725322681401"/>
  </r>
  <r>
    <s v="ORD1218"/>
    <x v="41"/>
    <s v="CUST126"/>
    <x v="1"/>
    <x v="1"/>
    <s v="Shoes"/>
    <n v="4"/>
    <n v="3096"/>
    <n v="12384"/>
    <n v="1241.82"/>
    <n v="997.24597767792443"/>
  </r>
  <r>
    <s v="ORD1219"/>
    <x v="161"/>
    <s v="CUST8"/>
    <x v="0"/>
    <x v="1"/>
    <s v="Jeans"/>
    <n v="5"/>
    <n v="3653"/>
    <n v="18265"/>
    <n v="4201.33"/>
    <n v="434.74328367445548"/>
  </r>
  <r>
    <s v="ORD1220"/>
    <x v="75"/>
    <s v="CUST71"/>
    <x v="0"/>
    <x v="0"/>
    <s v="Lotion"/>
    <n v="6"/>
    <n v="3711"/>
    <n v="22266"/>
    <n v="3511.86"/>
    <n v="634.02299636090277"/>
  </r>
  <r>
    <s v="ORD1221"/>
    <x v="59"/>
    <s v="CUST100"/>
    <x v="0"/>
    <x v="3"/>
    <s v="Table"/>
    <n v="5"/>
    <n v="1188"/>
    <n v="5940"/>
    <n v="800.69"/>
    <n v="741.86014562439891"/>
  </r>
  <r>
    <s v="ORD1222"/>
    <x v="162"/>
    <s v="CUST31"/>
    <x v="3"/>
    <x v="1"/>
    <s v="Jeans"/>
    <n v="7"/>
    <n v="4316"/>
    <n v="30212"/>
    <n v="9603.4"/>
    <n v="314.59691359310244"/>
  </r>
  <r>
    <s v="ORD1223"/>
    <x v="56"/>
    <s v="CUST16"/>
    <x v="1"/>
    <x v="3"/>
    <s v="Sofa"/>
    <n v="2"/>
    <n v="4226"/>
    <n v="8452"/>
    <n v="1760.94"/>
    <n v="479.97092461980532"/>
  </r>
  <r>
    <s v="ORD1224"/>
    <x v="83"/>
    <s v="CUST78"/>
    <x v="3"/>
    <x v="2"/>
    <s v="Headphones"/>
    <n v="7"/>
    <n v="4379"/>
    <n v="30653"/>
    <n v="5870.99"/>
    <n v="522.10955903518834"/>
  </r>
  <r>
    <s v="ORD1225"/>
    <x v="163"/>
    <s v="CUST76"/>
    <x v="3"/>
    <x v="3"/>
    <s v="Table"/>
    <n v="7"/>
    <n v="1882"/>
    <n v="13174"/>
    <n v="3578.25"/>
    <n v="368.16879759659054"/>
  </r>
  <r>
    <s v="ORD1226"/>
    <x v="164"/>
    <s v="CUST9"/>
    <x v="2"/>
    <x v="2"/>
    <s v="Tablet"/>
    <n v="1"/>
    <n v="4865"/>
    <n v="4865"/>
    <n v="1595.06"/>
    <n v="305.00420046894789"/>
  </r>
  <r>
    <s v="ORD1227"/>
    <x v="2"/>
    <s v="CUST61"/>
    <x v="3"/>
    <x v="3"/>
    <s v="Chair"/>
    <n v="7"/>
    <n v="4163"/>
    <n v="29141"/>
    <n v="3149.46"/>
    <n v="925.26972877890171"/>
  </r>
  <r>
    <s v="ORD1228"/>
    <x v="94"/>
    <s v="CUST86"/>
    <x v="2"/>
    <x v="1"/>
    <s v="T-Shirt"/>
    <n v="5"/>
    <n v="1133"/>
    <n v="5665"/>
    <n v="2104.4699999999998"/>
    <n v="269.18891692445135"/>
  </r>
  <r>
    <s v="ORD1229"/>
    <x v="165"/>
    <s v="CUST140"/>
    <x v="2"/>
    <x v="1"/>
    <s v="Shoes"/>
    <n v="3"/>
    <n v="3798"/>
    <n v="11394"/>
    <n v="2669.63"/>
    <n v="426.80071770245308"/>
  </r>
  <r>
    <s v="ORD1230"/>
    <x v="166"/>
    <s v="CUST58"/>
    <x v="3"/>
    <x v="2"/>
    <s v="Smartphone"/>
    <n v="3"/>
    <n v="3433"/>
    <n v="10299"/>
    <n v="3246.82"/>
    <n v="317.20267831293387"/>
  </r>
  <r>
    <s v="ORD1231"/>
    <x v="3"/>
    <s v="CUST121"/>
    <x v="1"/>
    <x v="0"/>
    <s v="Shampoo"/>
    <n v="4"/>
    <n v="2180"/>
    <n v="8720"/>
    <n v="3399.9"/>
    <n v="256.47813170975616"/>
  </r>
  <r>
    <s v="ORD1232"/>
    <x v="74"/>
    <s v="CUST30"/>
    <x v="1"/>
    <x v="2"/>
    <s v="Laptop"/>
    <n v="2"/>
    <n v="2055"/>
    <n v="4110"/>
    <n v="1200.58"/>
    <n v="342.33453830648523"/>
  </r>
  <r>
    <s v="ORD1233"/>
    <x v="167"/>
    <s v="CUST69"/>
    <x v="1"/>
    <x v="2"/>
    <s v="Smartwatch"/>
    <n v="2"/>
    <n v="3256"/>
    <n v="6512"/>
    <n v="2573.48"/>
    <n v="253.04257270311018"/>
  </r>
  <r>
    <s v="ORD1234"/>
    <x v="168"/>
    <s v="CUST72"/>
    <x v="1"/>
    <x v="3"/>
    <s v="Bookshelf"/>
    <n v="1"/>
    <n v="992"/>
    <n v="992"/>
    <n v="161.4"/>
    <n v="614.62205700123911"/>
  </r>
  <r>
    <s v="ORD1235"/>
    <x v="169"/>
    <s v="CUST74"/>
    <x v="1"/>
    <x v="3"/>
    <s v="Bed"/>
    <n v="5"/>
    <n v="991"/>
    <n v="4955"/>
    <n v="859.2"/>
    <n v="576.69925512104271"/>
  </r>
  <r>
    <s v="ORD1236"/>
    <x v="170"/>
    <s v="CUST31"/>
    <x v="3"/>
    <x v="2"/>
    <s v="Smartphone"/>
    <n v="4"/>
    <n v="2009"/>
    <n v="8036"/>
    <n v="1814.07"/>
    <n v="442.98180334827214"/>
  </r>
  <r>
    <s v="ORD1237"/>
    <x v="22"/>
    <s v="CUST106"/>
    <x v="3"/>
    <x v="1"/>
    <s v="T-Shirt"/>
    <n v="2"/>
    <n v="2455"/>
    <n v="4910"/>
    <n v="1218.21"/>
    <n v="403.05037719276646"/>
  </r>
  <r>
    <s v="ORD1238"/>
    <x v="171"/>
    <s v="CUST80"/>
    <x v="0"/>
    <x v="3"/>
    <s v="Table"/>
    <n v="3"/>
    <n v="3810"/>
    <n v="11430"/>
    <n v="3851.14"/>
    <n v="296.79523465778965"/>
  </r>
  <r>
    <s v="ORD1239"/>
    <x v="172"/>
    <s v="CUST143"/>
    <x v="1"/>
    <x v="0"/>
    <s v="Perfume"/>
    <n v="7"/>
    <n v="1807"/>
    <n v="12649"/>
    <n v="4847.8"/>
    <n v="260.92248030034239"/>
  </r>
  <r>
    <s v="ORD1240"/>
    <x v="158"/>
    <s v="CUST37"/>
    <x v="3"/>
    <x v="3"/>
    <s v="Bed"/>
    <n v="7"/>
    <n v="1184"/>
    <n v="8288"/>
    <n v="3044.84"/>
    <n v="272.19821074342161"/>
  </r>
  <r>
    <s v="ORD1241"/>
    <x v="173"/>
    <s v="CUST5"/>
    <x v="0"/>
    <x v="3"/>
    <s v="Bed"/>
    <n v="4"/>
    <n v="3876"/>
    <n v="15504"/>
    <n v="2941.15"/>
    <n v="527.14074426669845"/>
  </r>
  <r>
    <s v="ORD1242"/>
    <x v="174"/>
    <s v="CUST81"/>
    <x v="1"/>
    <x v="0"/>
    <s v="Face Cream"/>
    <n v="5"/>
    <n v="3580"/>
    <n v="17900"/>
    <n v="6945.74"/>
    <n v="257.71192126396897"/>
  </r>
  <r>
    <s v="ORD1243"/>
    <x v="97"/>
    <s v="CUST141"/>
    <x v="2"/>
    <x v="2"/>
    <s v="Smartphone"/>
    <n v="5"/>
    <n v="719"/>
    <n v="3595"/>
    <n v="475.55"/>
    <n v="755.96677531279568"/>
  </r>
  <r>
    <s v="ORD1244"/>
    <x v="165"/>
    <s v="CUST23"/>
    <x v="0"/>
    <x v="0"/>
    <s v="Face Cream"/>
    <n v="6"/>
    <n v="790"/>
    <n v="4740"/>
    <n v="504.71"/>
    <n v="939.15317707198187"/>
  </r>
  <r>
    <s v="ORD1245"/>
    <x v="58"/>
    <s v="CUST136"/>
    <x v="3"/>
    <x v="2"/>
    <s v="Smartphone"/>
    <n v="9"/>
    <n v="1250"/>
    <n v="11250"/>
    <n v="2654.36"/>
    <n v="423.83097997257335"/>
  </r>
  <r>
    <s v="ORD1246"/>
    <x v="14"/>
    <s v="CUST38"/>
    <x v="2"/>
    <x v="2"/>
    <s v="Smartwatch"/>
    <n v="2"/>
    <n v="3833"/>
    <n v="7666"/>
    <n v="1460.32"/>
    <n v="524.9534348635915"/>
  </r>
  <r>
    <s v="ORD1247"/>
    <x v="175"/>
    <s v="CUST34"/>
    <x v="2"/>
    <x v="2"/>
    <s v="Headphones"/>
    <n v="5"/>
    <n v="4644"/>
    <n v="23220"/>
    <n v="7457.02"/>
    <n v="311.38444043330981"/>
  </r>
  <r>
    <s v="ORD1248"/>
    <x v="152"/>
    <s v="CUST138"/>
    <x v="2"/>
    <x v="0"/>
    <s v="Shampoo"/>
    <n v="3"/>
    <n v="1159"/>
    <n v="3477"/>
    <n v="701.71"/>
    <n v="495.50384061791908"/>
  </r>
  <r>
    <s v="ORD1249"/>
    <x v="176"/>
    <s v="CUST49"/>
    <x v="0"/>
    <x v="2"/>
    <s v="Headphones"/>
    <n v="4"/>
    <n v="892"/>
    <n v="3568"/>
    <n v="934.38"/>
    <n v="381.85748838802198"/>
  </r>
  <r>
    <s v="ORD1250"/>
    <x v="177"/>
    <s v="CUST94"/>
    <x v="3"/>
    <x v="1"/>
    <s v="Jacket"/>
    <n v="6"/>
    <n v="4099"/>
    <n v="24594"/>
    <n v="6981.55"/>
    <n v="352.27134375604271"/>
  </r>
  <r>
    <s v="ORD1251"/>
    <x v="37"/>
    <s v="CUST114"/>
    <x v="2"/>
    <x v="0"/>
    <s v="Perfume"/>
    <n v="8"/>
    <n v="4673"/>
    <n v="37384"/>
    <n v="13130.32"/>
    <n v="284.71507168142136"/>
  </r>
  <r>
    <s v="ORD1252"/>
    <x v="178"/>
    <s v="CUST144"/>
    <x v="1"/>
    <x v="1"/>
    <s v="Jacket"/>
    <n v="1"/>
    <n v="3146"/>
    <n v="3146"/>
    <n v="350.85"/>
    <n v="896.67949266068115"/>
  </r>
  <r>
    <s v="ORD1253"/>
    <x v="118"/>
    <s v="CUST37"/>
    <x v="2"/>
    <x v="2"/>
    <s v="Tablet"/>
    <n v="8"/>
    <n v="726"/>
    <n v="5808"/>
    <n v="935.24"/>
    <n v="621.01706513836018"/>
  </r>
  <r>
    <s v="ORD1254"/>
    <x v="179"/>
    <s v="CUST8"/>
    <x v="2"/>
    <x v="3"/>
    <s v="Bed"/>
    <n v="7"/>
    <n v="3424"/>
    <n v="23968"/>
    <n v="3034.84"/>
    <n v="789.76156897892474"/>
  </r>
  <r>
    <s v="ORD1255"/>
    <x v="180"/>
    <s v="CUST43"/>
    <x v="0"/>
    <x v="2"/>
    <s v="Laptop"/>
    <n v="1"/>
    <n v="2453"/>
    <n v="2453"/>
    <n v="402.59"/>
    <n v="609.30475173253194"/>
  </r>
  <r>
    <s v="ORD1256"/>
    <x v="130"/>
    <s v="CUST63"/>
    <x v="0"/>
    <x v="1"/>
    <s v="Jacket"/>
    <n v="2"/>
    <n v="3544"/>
    <n v="7088"/>
    <n v="2813.48"/>
    <n v="251.92999417092003"/>
  </r>
  <r>
    <s v="ORD1257"/>
    <x v="123"/>
    <s v="CUST141"/>
    <x v="3"/>
    <x v="1"/>
    <s v="Jacket"/>
    <n v="3"/>
    <n v="4165"/>
    <n v="12495"/>
    <n v="4545.93"/>
    <n v="274.86124951330089"/>
  </r>
  <r>
    <s v="ORD1258"/>
    <x v="69"/>
    <s v="CUST78"/>
    <x v="1"/>
    <x v="0"/>
    <s v="Shampoo"/>
    <n v="1"/>
    <n v="2075"/>
    <n v="2075"/>
    <n v="662.06"/>
    <n v="313.41570250430476"/>
  </r>
  <r>
    <s v="ORD1259"/>
    <x v="29"/>
    <s v="CUST116"/>
    <x v="0"/>
    <x v="3"/>
    <s v="Bookshelf"/>
    <n v="9"/>
    <n v="1963"/>
    <n v="17667"/>
    <n v="5963.61"/>
    <n v="296.24673645660937"/>
  </r>
  <r>
    <s v="ORD1260"/>
    <x v="86"/>
    <s v="CUST144"/>
    <x v="2"/>
    <x v="0"/>
    <s v="Lotion"/>
    <n v="8"/>
    <n v="720"/>
    <n v="5760"/>
    <n v="782.39"/>
    <n v="736.20572860082575"/>
  </r>
  <r>
    <s v="ORD1261"/>
    <x v="143"/>
    <s v="CUST14"/>
    <x v="3"/>
    <x v="1"/>
    <s v="Dress"/>
    <n v="2"/>
    <n v="1216"/>
    <n v="2432"/>
    <n v="584.95000000000005"/>
    <n v="415.76203094281556"/>
  </r>
  <r>
    <s v="ORD1262"/>
    <x v="181"/>
    <s v="CUST128"/>
    <x v="2"/>
    <x v="2"/>
    <s v="Smartphone"/>
    <n v="9"/>
    <n v="316"/>
    <n v="2844"/>
    <n v="1121.94"/>
    <n v="253.48949141665327"/>
  </r>
  <r>
    <s v="ORD1263"/>
    <x v="182"/>
    <s v="CUST19"/>
    <x v="2"/>
    <x v="3"/>
    <s v="Sofa"/>
    <n v="7"/>
    <n v="2633"/>
    <n v="18431"/>
    <n v="6095.17"/>
    <n v="302.3869719794526"/>
  </r>
  <r>
    <s v="ORD1264"/>
    <x v="183"/>
    <s v="CUST79"/>
    <x v="0"/>
    <x v="2"/>
    <s v="Headphones"/>
    <n v="9"/>
    <n v="783"/>
    <n v="7047"/>
    <n v="1615.81"/>
    <n v="436.12801010019746"/>
  </r>
  <r>
    <s v="ORD1265"/>
    <x v="184"/>
    <s v="CUST76"/>
    <x v="3"/>
    <x v="2"/>
    <s v="Smartwatch"/>
    <n v="6"/>
    <n v="594"/>
    <n v="3564"/>
    <n v="1190.1300000000001"/>
    <n v="299.46308386478785"/>
  </r>
  <r>
    <s v="ORD1266"/>
    <x v="152"/>
    <s v="CUST22"/>
    <x v="1"/>
    <x v="3"/>
    <s v="Bookshelf"/>
    <n v="6"/>
    <n v="3988"/>
    <n v="23928"/>
    <n v="3055.25"/>
    <n v="783.17649946812867"/>
  </r>
  <r>
    <s v="ORD1267"/>
    <x v="61"/>
    <s v="CUST145"/>
    <x v="1"/>
    <x v="0"/>
    <s v="Lotion"/>
    <n v="4"/>
    <n v="2968"/>
    <n v="11872"/>
    <n v="3178.21"/>
    <n v="373.54359844063168"/>
  </r>
  <r>
    <s v="ORD1268"/>
    <x v="0"/>
    <s v="CUST90"/>
    <x v="0"/>
    <x v="2"/>
    <s v="Tablet"/>
    <n v="2"/>
    <n v="4367"/>
    <n v="8734"/>
    <n v="1299.58"/>
    <n v="672.06328198340998"/>
  </r>
  <r>
    <s v="ORD1269"/>
    <x v="171"/>
    <s v="CUST16"/>
    <x v="0"/>
    <x v="1"/>
    <s v="Jeans"/>
    <n v="7"/>
    <n v="4060"/>
    <n v="28420"/>
    <n v="7714.83"/>
    <n v="368.38141605194153"/>
  </r>
  <r>
    <s v="ORD1270"/>
    <x v="185"/>
    <s v="CUST28"/>
    <x v="3"/>
    <x v="2"/>
    <s v="Smartwatch"/>
    <n v="5"/>
    <n v="473"/>
    <n v="2365"/>
    <n v="445.02"/>
    <n v="531.43678935778166"/>
  </r>
  <r>
    <s v="ORD1271"/>
    <x v="186"/>
    <s v="CUST73"/>
    <x v="1"/>
    <x v="3"/>
    <s v="Bookshelf"/>
    <n v="6"/>
    <n v="2213"/>
    <n v="13278"/>
    <n v="4858.42"/>
    <n v="273.29872674655547"/>
  </r>
  <r>
    <s v="ORD1272"/>
    <x v="187"/>
    <s v="CUST148"/>
    <x v="1"/>
    <x v="3"/>
    <s v="Chair"/>
    <n v="2"/>
    <n v="4633"/>
    <n v="9266"/>
    <n v="3645.13"/>
    <n v="254.20218208952767"/>
  </r>
  <r>
    <s v="ORD1273"/>
    <x v="188"/>
    <s v="CUST84"/>
    <x v="1"/>
    <x v="3"/>
    <s v="Bookshelf"/>
    <n v="5"/>
    <n v="1589"/>
    <n v="7945"/>
    <n v="2486.5100000000002"/>
    <n v="319.52415232595081"/>
  </r>
  <r>
    <s v="ORD1274"/>
    <x v="189"/>
    <s v="CUST6"/>
    <x v="2"/>
    <x v="0"/>
    <s v="Perfume"/>
    <n v="4"/>
    <n v="3766"/>
    <n v="15064"/>
    <n v="4983.7"/>
    <n v="302.26538515560731"/>
  </r>
  <r>
    <s v="ORD1275"/>
    <x v="19"/>
    <s v="CUST27"/>
    <x v="1"/>
    <x v="2"/>
    <s v="Tablet"/>
    <n v="9"/>
    <n v="4902"/>
    <n v="44118"/>
    <n v="4715.26"/>
    <n v="935.64299741689751"/>
  </r>
  <r>
    <s v="ORD1276"/>
    <x v="50"/>
    <s v="CUST146"/>
    <x v="2"/>
    <x v="0"/>
    <s v="Lotion"/>
    <n v="6"/>
    <n v="365"/>
    <n v="2190"/>
    <n v="829.14"/>
    <n v="264.12909761921992"/>
  </r>
  <r>
    <s v="ORD1277"/>
    <x v="190"/>
    <s v="CUST115"/>
    <x v="3"/>
    <x v="0"/>
    <s v="Lotion"/>
    <n v="2"/>
    <n v="1767"/>
    <n v="3534"/>
    <n v="768.33"/>
    <n v="459.95861153410641"/>
  </r>
  <r>
    <s v="ORD1278"/>
    <x v="191"/>
    <s v="CUST90"/>
    <x v="2"/>
    <x v="3"/>
    <s v="Chair"/>
    <n v="1"/>
    <n v="928"/>
    <n v="928"/>
    <n v="343.58"/>
    <n v="270.09721171197396"/>
  </r>
  <r>
    <s v="ORD1279"/>
    <x v="192"/>
    <s v="CUST143"/>
    <x v="3"/>
    <x v="3"/>
    <s v="Table"/>
    <n v="5"/>
    <n v="2243"/>
    <n v="11215"/>
    <n v="2220.48"/>
    <n v="505.07097564490556"/>
  </r>
  <r>
    <s v="ORD1280"/>
    <x v="98"/>
    <s v="CUST67"/>
    <x v="1"/>
    <x v="0"/>
    <s v="Face Cream"/>
    <n v="9"/>
    <n v="4397"/>
    <n v="39573"/>
    <n v="13461.94"/>
    <n v="293.96208867369779"/>
  </r>
  <r>
    <s v="ORD1281"/>
    <x v="81"/>
    <s v="CUST77"/>
    <x v="1"/>
    <x v="2"/>
    <s v="Headphones"/>
    <n v="6"/>
    <n v="3696"/>
    <n v="22176"/>
    <n v="7471.35"/>
    <n v="296.81382882611575"/>
  </r>
  <r>
    <s v="ORD1282"/>
    <x v="193"/>
    <s v="CUST42"/>
    <x v="3"/>
    <x v="1"/>
    <s v="T-Shirt"/>
    <n v="7"/>
    <n v="978"/>
    <n v="6846"/>
    <n v="1454.24"/>
    <n v="470.76135988557598"/>
  </r>
  <r>
    <s v="ORD1283"/>
    <x v="1"/>
    <s v="CUST85"/>
    <x v="0"/>
    <x v="0"/>
    <s v="Lotion"/>
    <n v="5"/>
    <n v="413"/>
    <n v="2065"/>
    <n v="350.94"/>
    <n v="588.41967287855482"/>
  </r>
  <r>
    <s v="ORD1284"/>
    <x v="194"/>
    <s v="CUST60"/>
    <x v="3"/>
    <x v="2"/>
    <s v="Laptop"/>
    <n v="6"/>
    <n v="3962"/>
    <n v="23772"/>
    <n v="4800.17"/>
    <n v="495.23246051702341"/>
  </r>
  <r>
    <s v="ORD1285"/>
    <x v="195"/>
    <s v="CUST69"/>
    <x v="0"/>
    <x v="3"/>
    <s v="Chair"/>
    <n v="5"/>
    <n v="1776"/>
    <n v="8880"/>
    <n v="3131.33"/>
    <n v="283.58556907128923"/>
  </r>
  <r>
    <s v="ORD1286"/>
    <x v="196"/>
    <s v="CUST24"/>
    <x v="2"/>
    <x v="3"/>
    <s v="Sofa"/>
    <n v="9"/>
    <n v="2648"/>
    <n v="23832"/>
    <n v="8770.24"/>
    <n v="271.73714744408363"/>
  </r>
  <r>
    <s v="ORD1287"/>
    <x v="197"/>
    <s v="CUST73"/>
    <x v="2"/>
    <x v="2"/>
    <s v="Smartwatch"/>
    <n v="6"/>
    <n v="3136"/>
    <n v="18816"/>
    <n v="5560.12"/>
    <n v="338.40996237491277"/>
  </r>
  <r>
    <s v="ORD1288"/>
    <x v="30"/>
    <s v="CUST17"/>
    <x v="2"/>
    <x v="1"/>
    <s v="T-Shirt"/>
    <n v="8"/>
    <n v="3317"/>
    <n v="26536"/>
    <n v="9697.5300000000007"/>
    <n v="273.63668893006775"/>
  </r>
  <r>
    <s v="ORD1289"/>
    <x v="65"/>
    <s v="CUST44"/>
    <x v="1"/>
    <x v="3"/>
    <s v="Table"/>
    <n v="2"/>
    <n v="791"/>
    <n v="1582"/>
    <n v="192.72"/>
    <n v="820.88003320880034"/>
  </r>
  <r>
    <s v="ORD1290"/>
    <x v="94"/>
    <s v="CUST57"/>
    <x v="2"/>
    <x v="3"/>
    <s v="Bed"/>
    <n v="9"/>
    <n v="2920"/>
    <n v="26280"/>
    <n v="2773.16"/>
    <n v="947.65538230754805"/>
  </r>
  <r>
    <s v="ORD1291"/>
    <x v="26"/>
    <s v="CUST70"/>
    <x v="0"/>
    <x v="3"/>
    <s v="Chair"/>
    <n v="5"/>
    <n v="913"/>
    <n v="4565"/>
    <n v="749.27"/>
    <n v="609.25967942130342"/>
  </r>
  <r>
    <s v="ORD1292"/>
    <x v="108"/>
    <s v="CUST105"/>
    <x v="2"/>
    <x v="2"/>
    <s v="Laptop"/>
    <n v="7"/>
    <n v="1135"/>
    <n v="7945"/>
    <n v="1801.14"/>
    <n v="441.10951952652204"/>
  </r>
  <r>
    <s v="ORD1293"/>
    <x v="164"/>
    <s v="CUST82"/>
    <x v="3"/>
    <x v="0"/>
    <s v="Shampoo"/>
    <n v="1"/>
    <n v="4537"/>
    <n v="4537"/>
    <n v="1710.51"/>
    <n v="265.24253000567086"/>
  </r>
  <r>
    <s v="ORD1294"/>
    <x v="27"/>
    <s v="CUST41"/>
    <x v="3"/>
    <x v="3"/>
    <s v="Bookshelf"/>
    <n v="5"/>
    <n v="201"/>
    <n v="1005"/>
    <n v="357.65"/>
    <n v="281.00097861037329"/>
  </r>
  <r>
    <s v="ORD1295"/>
    <x v="198"/>
    <s v="CUST149"/>
    <x v="1"/>
    <x v="0"/>
    <s v="Lipstick"/>
    <n v="2"/>
    <n v="3048"/>
    <n v="6096"/>
    <n v="2359.0100000000002"/>
    <n v="258.41348701362011"/>
  </r>
  <r>
    <s v="ORD1296"/>
    <x v="136"/>
    <s v="CUST117"/>
    <x v="3"/>
    <x v="1"/>
    <s v="Jeans"/>
    <n v="6"/>
    <n v="4244"/>
    <n v="25464"/>
    <n v="5045.3599999999997"/>
    <n v="504.7013493586187"/>
  </r>
  <r>
    <s v="ORD1297"/>
    <x v="137"/>
    <s v="CUST41"/>
    <x v="0"/>
    <x v="3"/>
    <s v="Bed"/>
    <n v="1"/>
    <n v="2149"/>
    <n v="2149"/>
    <n v="353.71"/>
    <n v="607.5598654264794"/>
  </r>
  <r>
    <s v="ORD1298"/>
    <x v="138"/>
    <s v="CUST113"/>
    <x v="2"/>
    <x v="3"/>
    <s v="Table"/>
    <n v="3"/>
    <n v="1117"/>
    <n v="3351"/>
    <n v="914.28"/>
    <n v="366.51791573697341"/>
  </r>
  <r>
    <s v="ORD1299"/>
    <x v="199"/>
    <s v="CUST131"/>
    <x v="1"/>
    <x v="1"/>
    <s v="Dress"/>
    <n v="5"/>
    <n v="3374"/>
    <n v="16870"/>
    <n v="5295.39"/>
    <n v="318.5789904048616"/>
  </r>
  <r>
    <s v="ORD1300"/>
    <x v="1"/>
    <s v="CUST69"/>
    <x v="2"/>
    <x v="3"/>
    <s v="Table"/>
    <n v="4"/>
    <n v="2441"/>
    <n v="9764"/>
    <n v="2603.2800000000002"/>
    <n v="375.06530223410465"/>
  </r>
  <r>
    <s v="ORD1301"/>
    <x v="45"/>
    <s v="CUST32"/>
    <x v="2"/>
    <x v="0"/>
    <s v="Shampoo"/>
    <n v="3"/>
    <n v="289"/>
    <n v="867"/>
    <n v="315.37"/>
    <n v="274.91517899609983"/>
  </r>
  <r>
    <s v="ORD1302"/>
    <x v="200"/>
    <s v="CUST20"/>
    <x v="0"/>
    <x v="2"/>
    <s v="Headphones"/>
    <n v="5"/>
    <n v="1909"/>
    <n v="9545"/>
    <n v="1204.49"/>
    <n v="792.45157701599851"/>
  </r>
  <r>
    <s v="ORD1303"/>
    <x v="180"/>
    <s v="CUST33"/>
    <x v="3"/>
    <x v="0"/>
    <s v="Shampoo"/>
    <n v="8"/>
    <n v="2369"/>
    <n v="18952"/>
    <n v="6374.28"/>
    <n v="297.31985416392126"/>
  </r>
  <r>
    <s v="ORD1304"/>
    <x v="201"/>
    <s v="CUST70"/>
    <x v="3"/>
    <x v="2"/>
    <s v="Headphones"/>
    <n v="4"/>
    <n v="4438"/>
    <n v="17752"/>
    <n v="5550.03"/>
    <n v="319.85412691462926"/>
  </r>
  <r>
    <s v="ORD1305"/>
    <x v="202"/>
    <s v="CUST103"/>
    <x v="2"/>
    <x v="2"/>
    <s v="Tablet"/>
    <n v="1"/>
    <n v="3241"/>
    <n v="3241"/>
    <n v="560.64"/>
    <n v="578.08932648401822"/>
  </r>
  <r>
    <s v="ORD1306"/>
    <x v="52"/>
    <s v="CUST87"/>
    <x v="1"/>
    <x v="0"/>
    <s v="Face Cream"/>
    <n v="7"/>
    <n v="305"/>
    <n v="2135"/>
    <n v="583.9"/>
    <n v="365.64480219215619"/>
  </r>
  <r>
    <s v="ORD1307"/>
    <x v="191"/>
    <s v="CUST124"/>
    <x v="3"/>
    <x v="0"/>
    <s v="Lotion"/>
    <n v="8"/>
    <n v="1086"/>
    <n v="8688"/>
    <n v="2303.91"/>
    <n v="377.09806372644766"/>
  </r>
  <r>
    <s v="ORD1308"/>
    <x v="157"/>
    <s v="CUST60"/>
    <x v="1"/>
    <x v="0"/>
    <s v="Lotion"/>
    <n v="3"/>
    <n v="627"/>
    <n v="1881"/>
    <n v="235.42"/>
    <n v="798.99753631806993"/>
  </r>
  <r>
    <s v="ORD1309"/>
    <x v="173"/>
    <s v="CUST3"/>
    <x v="3"/>
    <x v="0"/>
    <s v="Shampoo"/>
    <n v="6"/>
    <n v="2095"/>
    <n v="12570"/>
    <n v="3508.18"/>
    <n v="358.30544612876196"/>
  </r>
  <r>
    <s v="ORD1310"/>
    <x v="181"/>
    <s v="CUST85"/>
    <x v="1"/>
    <x v="1"/>
    <s v="Jacket"/>
    <n v="2"/>
    <n v="516"/>
    <n v="1032"/>
    <n v="400.78"/>
    <n v="257.49787913568542"/>
  </r>
  <r>
    <s v="ORD1311"/>
    <x v="203"/>
    <s v="CUST48"/>
    <x v="0"/>
    <x v="3"/>
    <s v="Chair"/>
    <n v="7"/>
    <n v="834"/>
    <n v="5838"/>
    <n v="1784.24"/>
    <n v="327.19813478007444"/>
  </r>
  <r>
    <s v="ORD1312"/>
    <x v="155"/>
    <s v="CUST70"/>
    <x v="1"/>
    <x v="2"/>
    <s v="Smartwatch"/>
    <n v="8"/>
    <n v="2125"/>
    <n v="17000"/>
    <n v="2407.71"/>
    <n v="706.06509920214637"/>
  </r>
  <r>
    <s v="ORD1313"/>
    <x v="158"/>
    <s v="CUST128"/>
    <x v="0"/>
    <x v="0"/>
    <s v="Lipstick"/>
    <n v="6"/>
    <n v="2256"/>
    <n v="13536"/>
    <n v="1660.79"/>
    <n v="815.03380921127905"/>
  </r>
  <r>
    <s v="ORD1314"/>
    <x v="86"/>
    <s v="CUST91"/>
    <x v="0"/>
    <x v="0"/>
    <s v="Lotion"/>
    <n v="6"/>
    <n v="3344"/>
    <n v="20064"/>
    <n v="2496.35"/>
    <n v="803.73345083822392"/>
  </r>
  <r>
    <s v="ORD1315"/>
    <x v="204"/>
    <s v="CUST136"/>
    <x v="1"/>
    <x v="0"/>
    <s v="Perfume"/>
    <n v="5"/>
    <n v="2470"/>
    <n v="12350"/>
    <n v="3838.54"/>
    <n v="321.73691038780368"/>
  </r>
  <r>
    <s v="ORD1316"/>
    <x v="143"/>
    <s v="CUST110"/>
    <x v="0"/>
    <x v="1"/>
    <s v="T-Shirt"/>
    <n v="8"/>
    <n v="1639"/>
    <n v="13112"/>
    <n v="4840.5600000000004"/>
    <n v="270.87774968185499"/>
  </r>
  <r>
    <s v="ORD1317"/>
    <x v="47"/>
    <s v="CUST125"/>
    <x v="2"/>
    <x v="0"/>
    <s v="Lotion"/>
    <n v="1"/>
    <n v="752"/>
    <n v="752"/>
    <n v="172.34"/>
    <n v="436.34675641174425"/>
  </r>
  <r>
    <s v="ORD1318"/>
    <x v="205"/>
    <s v="CUST17"/>
    <x v="0"/>
    <x v="0"/>
    <s v="Lipstick"/>
    <n v="4"/>
    <n v="915"/>
    <n v="3660"/>
    <n v="1014.23"/>
    <n v="360.86489257860643"/>
  </r>
  <r>
    <s v="ORD1319"/>
    <x v="206"/>
    <s v="CUST76"/>
    <x v="3"/>
    <x v="0"/>
    <s v="Perfume"/>
    <n v="4"/>
    <n v="4111"/>
    <n v="16444"/>
    <n v="3689.38"/>
    <n v="445.71174560495257"/>
  </r>
  <r>
    <s v="ORD1320"/>
    <x v="207"/>
    <s v="CUST18"/>
    <x v="1"/>
    <x v="3"/>
    <s v="Chair"/>
    <n v="3"/>
    <n v="1913"/>
    <n v="5739"/>
    <n v="2173.7399999999998"/>
    <n v="264.01501559524138"/>
  </r>
  <r>
    <s v="ORD1321"/>
    <x v="135"/>
    <s v="CUST132"/>
    <x v="2"/>
    <x v="1"/>
    <s v="Dress"/>
    <n v="3"/>
    <n v="3589"/>
    <n v="10767"/>
    <n v="2792.48"/>
    <n v="385.57124849596056"/>
  </r>
  <r>
    <s v="ORD1322"/>
    <x v="208"/>
    <s v="CUST119"/>
    <x v="1"/>
    <x v="0"/>
    <s v="Lipstick"/>
    <n v="4"/>
    <n v="1307"/>
    <n v="5228"/>
    <n v="1400.12"/>
    <n v="373.39656600862787"/>
  </r>
  <r>
    <s v="ORD1323"/>
    <x v="96"/>
    <s v="CUST127"/>
    <x v="3"/>
    <x v="2"/>
    <s v="Laptop"/>
    <n v="1"/>
    <n v="4406"/>
    <n v="4406"/>
    <n v="610.04999999999995"/>
    <n v="722.2358823047291"/>
  </r>
  <r>
    <s v="ORD1324"/>
    <x v="58"/>
    <s v="CUST76"/>
    <x v="3"/>
    <x v="2"/>
    <s v="Tablet"/>
    <n v="2"/>
    <n v="450"/>
    <n v="900"/>
    <n v="103.99"/>
    <n v="865.46783344552375"/>
  </r>
  <r>
    <s v="ORD1325"/>
    <x v="24"/>
    <s v="CUST49"/>
    <x v="3"/>
    <x v="2"/>
    <s v="Smartphone"/>
    <n v="9"/>
    <n v="2630"/>
    <n v="23670"/>
    <n v="5785.71"/>
    <n v="409.11141415660313"/>
  </r>
  <r>
    <s v="ORD1326"/>
    <x v="36"/>
    <s v="CUST12"/>
    <x v="0"/>
    <x v="1"/>
    <s v="Jacket"/>
    <n v="2"/>
    <n v="2254"/>
    <n v="4508"/>
    <n v="805.37"/>
    <n v="559.7427269453791"/>
  </r>
  <r>
    <s v="ORD1327"/>
    <x v="209"/>
    <s v="CUST104"/>
    <x v="0"/>
    <x v="1"/>
    <s v="T-Shirt"/>
    <n v="5"/>
    <n v="658"/>
    <n v="3290"/>
    <n v="832.89"/>
    <n v="395.01014539735138"/>
  </r>
  <r>
    <s v="ORD1328"/>
    <x v="186"/>
    <s v="CUST77"/>
    <x v="1"/>
    <x v="2"/>
    <s v="Smartwatch"/>
    <n v="9"/>
    <n v="407"/>
    <n v="3663"/>
    <n v="1036"/>
    <n v="353.57142857142856"/>
  </r>
  <r>
    <s v="ORD1329"/>
    <x v="1"/>
    <s v="CUST58"/>
    <x v="1"/>
    <x v="0"/>
    <s v="Lotion"/>
    <n v="9"/>
    <n v="1099"/>
    <n v="9891"/>
    <n v="2341.12"/>
    <n v="422.49009021323127"/>
  </r>
  <r>
    <s v="ORD1330"/>
    <x v="75"/>
    <s v="CUST64"/>
    <x v="2"/>
    <x v="1"/>
    <s v="Shoes"/>
    <n v="8"/>
    <n v="3661"/>
    <n v="29288"/>
    <n v="6906.15"/>
    <n v="424.08577861760898"/>
  </r>
  <r>
    <s v="ORD1331"/>
    <x v="210"/>
    <s v="CUST99"/>
    <x v="2"/>
    <x v="2"/>
    <s v="Smartphone"/>
    <n v="1"/>
    <n v="3585"/>
    <n v="3585"/>
    <n v="408.86"/>
    <n v="876.82825417013157"/>
  </r>
  <r>
    <s v="ORD1332"/>
    <x v="110"/>
    <s v="CUST37"/>
    <x v="1"/>
    <x v="2"/>
    <s v="Laptop"/>
    <n v="1"/>
    <n v="221"/>
    <n v="221"/>
    <n v="80.52"/>
    <n v="274.46597118728266"/>
  </r>
  <r>
    <s v="ORD1333"/>
    <x v="21"/>
    <s v="CUST124"/>
    <x v="0"/>
    <x v="0"/>
    <s v="Lipstick"/>
    <n v="9"/>
    <n v="609"/>
    <n v="5481"/>
    <n v="631.1"/>
    <n v="868.48360006338135"/>
  </r>
  <r>
    <s v="ORD1334"/>
    <x v="150"/>
    <s v="CUST130"/>
    <x v="3"/>
    <x v="3"/>
    <s v="Sofa"/>
    <n v="8"/>
    <n v="1094"/>
    <n v="8752"/>
    <n v="3300.53"/>
    <n v="265.16953337797264"/>
  </r>
  <r>
    <s v="ORD1335"/>
    <x v="143"/>
    <s v="CUST147"/>
    <x v="1"/>
    <x v="1"/>
    <s v="Jeans"/>
    <n v="9"/>
    <n v="714"/>
    <n v="6426"/>
    <n v="1923.21"/>
    <n v="334.12887828162292"/>
  </r>
  <r>
    <s v="ORD1336"/>
    <x v="53"/>
    <s v="CUST89"/>
    <x v="2"/>
    <x v="0"/>
    <s v="Perfume"/>
    <n v="7"/>
    <n v="4309"/>
    <n v="30163"/>
    <n v="6497.93"/>
    <n v="464.1939817757347"/>
  </r>
  <r>
    <s v="ORD1337"/>
    <x v="64"/>
    <s v="CUST58"/>
    <x v="0"/>
    <x v="2"/>
    <s v="Smartwatch"/>
    <n v="3"/>
    <n v="2334"/>
    <n v="7002"/>
    <n v="756.15"/>
    <n v="926.00674469351316"/>
  </r>
  <r>
    <s v="ORD1338"/>
    <x v="211"/>
    <s v="CUST119"/>
    <x v="1"/>
    <x v="2"/>
    <s v="Tablet"/>
    <n v="3"/>
    <n v="3795"/>
    <n v="11385"/>
    <n v="3831.1"/>
    <n v="297.17313565294563"/>
  </r>
  <r>
    <s v="ORD1339"/>
    <x v="212"/>
    <s v="CUST104"/>
    <x v="1"/>
    <x v="0"/>
    <s v="Lotion"/>
    <n v="2"/>
    <n v="3156"/>
    <n v="6312"/>
    <n v="1962.79"/>
    <n v="321.58305269539784"/>
  </r>
  <r>
    <s v="ORD1340"/>
    <x v="178"/>
    <s v="CUST60"/>
    <x v="0"/>
    <x v="1"/>
    <s v="Jeans"/>
    <n v="5"/>
    <n v="1760"/>
    <n v="8800"/>
    <n v="2369.2199999999998"/>
    <n v="371.43025974793392"/>
  </r>
  <r>
    <s v="ORD1341"/>
    <x v="213"/>
    <s v="CUST1"/>
    <x v="1"/>
    <x v="3"/>
    <s v="Sofa"/>
    <n v="3"/>
    <n v="1466"/>
    <n v="4398"/>
    <n v="1693.62"/>
    <n v="259.68044779820741"/>
  </r>
  <r>
    <s v="ORD1342"/>
    <x v="206"/>
    <s v="CUST89"/>
    <x v="0"/>
    <x v="3"/>
    <s v="Sofa"/>
    <n v="6"/>
    <n v="2369"/>
    <n v="14214"/>
    <n v="4521.47"/>
    <n v="314.36678779246574"/>
  </r>
  <r>
    <s v="ORD1343"/>
    <x v="214"/>
    <s v="CUST34"/>
    <x v="3"/>
    <x v="2"/>
    <s v="Smartwatch"/>
    <n v="2"/>
    <n v="3838"/>
    <n v="7676"/>
    <n v="1259.56"/>
    <n v="609.41916224713395"/>
  </r>
  <r>
    <s v="ORD1344"/>
    <x v="215"/>
    <s v="CUST45"/>
    <x v="0"/>
    <x v="1"/>
    <s v="Dress"/>
    <n v="3"/>
    <n v="949"/>
    <n v="2847"/>
    <n v="702.33"/>
    <n v="405.36499935927554"/>
  </r>
  <r>
    <s v="ORD1345"/>
    <x v="103"/>
    <s v="CUST109"/>
    <x v="0"/>
    <x v="3"/>
    <s v="Chair"/>
    <n v="5"/>
    <n v="3627"/>
    <n v="18135"/>
    <n v="2811.48"/>
    <n v="645.0339323061163"/>
  </r>
  <r>
    <s v="ORD1346"/>
    <x v="66"/>
    <s v="CUST60"/>
    <x v="0"/>
    <x v="1"/>
    <s v="T-Shirt"/>
    <n v="1"/>
    <n v="4980"/>
    <n v="4980"/>
    <n v="586.47"/>
    <n v="849.14829403038516"/>
  </r>
  <r>
    <s v="ORD1347"/>
    <x v="65"/>
    <s v="CUST140"/>
    <x v="1"/>
    <x v="1"/>
    <s v="Dress"/>
    <n v="1"/>
    <n v="2127"/>
    <n v="2127"/>
    <n v="293.85000000000002"/>
    <n v="723.8386932108217"/>
  </r>
  <r>
    <s v="ORD1348"/>
    <x v="216"/>
    <s v="CUST28"/>
    <x v="1"/>
    <x v="2"/>
    <s v="Smartwatch"/>
    <n v="9"/>
    <n v="4004"/>
    <n v="36036"/>
    <n v="5102.58"/>
    <n v="706.23096551156482"/>
  </r>
  <r>
    <s v="ORD1349"/>
    <x v="69"/>
    <s v="CUST96"/>
    <x v="0"/>
    <x v="3"/>
    <s v="Bed"/>
    <n v="7"/>
    <n v="3902"/>
    <n v="27314"/>
    <n v="8948.17"/>
    <n v="305.2467711275043"/>
  </r>
  <r>
    <s v="ORD1350"/>
    <x v="143"/>
    <s v="CUST70"/>
    <x v="1"/>
    <x v="0"/>
    <s v="Shampoo"/>
    <n v="1"/>
    <n v="2556"/>
    <n v="2556"/>
    <n v="666.28"/>
    <n v="383.62250105060934"/>
  </r>
  <r>
    <s v="ORD1351"/>
    <x v="195"/>
    <s v="CUST62"/>
    <x v="2"/>
    <x v="2"/>
    <s v="Laptop"/>
    <n v="8"/>
    <n v="4990"/>
    <n v="39920"/>
    <n v="11738.17"/>
    <n v="340.08708342101028"/>
  </r>
  <r>
    <s v="ORD1352"/>
    <x v="81"/>
    <s v="CUST148"/>
    <x v="2"/>
    <x v="3"/>
    <s v="Sofa"/>
    <n v="3"/>
    <n v="2535"/>
    <n v="7605"/>
    <n v="1224.4100000000001"/>
    <n v="621.1154760251876"/>
  </r>
  <r>
    <s v="ORD1353"/>
    <x v="82"/>
    <s v="CUST78"/>
    <x v="1"/>
    <x v="3"/>
    <s v="Sofa"/>
    <n v="8"/>
    <n v="506"/>
    <n v="4048"/>
    <n v="1288.48"/>
    <n v="314.16863280764932"/>
  </r>
  <r>
    <s v="ORD1354"/>
    <x v="56"/>
    <s v="CUST33"/>
    <x v="1"/>
    <x v="3"/>
    <s v="Bookshelf"/>
    <n v="5"/>
    <n v="3865"/>
    <n v="19325"/>
    <n v="5623.71"/>
    <n v="343.63436236932557"/>
  </r>
  <r>
    <s v="ORD1355"/>
    <x v="217"/>
    <s v="CUST115"/>
    <x v="0"/>
    <x v="3"/>
    <s v="Bed"/>
    <n v="1"/>
    <n v="2189"/>
    <n v="2189"/>
    <n v="424.66"/>
    <n v="515.47120048980355"/>
  </r>
  <r>
    <s v="ORD1356"/>
    <x v="218"/>
    <s v="CUST142"/>
    <x v="3"/>
    <x v="3"/>
    <s v="Table"/>
    <n v="7"/>
    <n v="861"/>
    <n v="6027"/>
    <n v="1380.16"/>
    <n v="436.6884998840714"/>
  </r>
  <r>
    <s v="ORD1357"/>
    <x v="34"/>
    <s v="CUST72"/>
    <x v="1"/>
    <x v="1"/>
    <s v="Shoes"/>
    <n v="5"/>
    <n v="4844"/>
    <n v="24220"/>
    <n v="9168.7999999999993"/>
    <n v="264.15670534857344"/>
  </r>
  <r>
    <s v="ORD1358"/>
    <x v="219"/>
    <s v="CUST10"/>
    <x v="2"/>
    <x v="2"/>
    <s v="Tablet"/>
    <n v="6"/>
    <n v="511"/>
    <n v="3066"/>
    <n v="503.88"/>
    <n v="608.47820909740415"/>
  </r>
  <r>
    <s v="ORD1359"/>
    <x v="217"/>
    <s v="CUST60"/>
    <x v="0"/>
    <x v="1"/>
    <s v="Jacket"/>
    <n v="6"/>
    <n v="3120"/>
    <n v="18720"/>
    <n v="2000.07"/>
    <n v="935.9672411465599"/>
  </r>
  <r>
    <s v="ORD1360"/>
    <x v="93"/>
    <s v="CUST55"/>
    <x v="1"/>
    <x v="0"/>
    <s v="Lipstick"/>
    <n v="8"/>
    <n v="1282"/>
    <n v="10256"/>
    <n v="1223.17"/>
    <n v="838.47707187063122"/>
  </r>
  <r>
    <s v="ORD1361"/>
    <x v="100"/>
    <s v="CUST122"/>
    <x v="2"/>
    <x v="3"/>
    <s v="Chair"/>
    <n v="9"/>
    <n v="3171"/>
    <n v="28539"/>
    <n v="6841.91"/>
    <n v="417.12036551196962"/>
  </r>
  <r>
    <s v="ORD1362"/>
    <x v="220"/>
    <s v="CUST27"/>
    <x v="2"/>
    <x v="2"/>
    <s v="Headphones"/>
    <n v="2"/>
    <n v="954"/>
    <n v="1908"/>
    <n v="529.74"/>
    <n v="360.1766904519198"/>
  </r>
  <r>
    <s v="ORD1363"/>
    <x v="55"/>
    <s v="CUST107"/>
    <x v="3"/>
    <x v="3"/>
    <s v="Chair"/>
    <n v="9"/>
    <n v="4330"/>
    <n v="38970"/>
    <n v="14059.8"/>
    <n v="277.17321725771347"/>
  </r>
  <r>
    <s v="ORD1364"/>
    <x v="221"/>
    <s v="CUST30"/>
    <x v="0"/>
    <x v="2"/>
    <s v="Smartphone"/>
    <n v="9"/>
    <n v="4740"/>
    <n v="42660"/>
    <n v="8289.16"/>
    <n v="514.64804636416716"/>
  </r>
  <r>
    <s v="ORD1365"/>
    <x v="61"/>
    <s v="CUST124"/>
    <x v="0"/>
    <x v="1"/>
    <s v="Jacket"/>
    <n v="7"/>
    <n v="552"/>
    <n v="3864"/>
    <n v="1101.74"/>
    <n v="350.71795523444729"/>
  </r>
  <r>
    <s v="ORD1366"/>
    <x v="167"/>
    <s v="CUST116"/>
    <x v="3"/>
    <x v="2"/>
    <s v="Smartphone"/>
    <n v="1"/>
    <n v="1102"/>
    <n v="1102"/>
    <n v="319.67"/>
    <n v="344.73050333156061"/>
  </r>
  <r>
    <s v="ORD1367"/>
    <x v="165"/>
    <s v="CUST45"/>
    <x v="3"/>
    <x v="0"/>
    <s v="Shampoo"/>
    <n v="7"/>
    <n v="4088"/>
    <n v="28616"/>
    <n v="5676.93"/>
    <n v="504.07526603287334"/>
  </r>
  <r>
    <s v="ORD1368"/>
    <x v="222"/>
    <s v="CUST143"/>
    <x v="0"/>
    <x v="0"/>
    <s v="Face Cream"/>
    <n v="5"/>
    <n v="358"/>
    <n v="1790"/>
    <n v="307.05"/>
    <n v="582.96694349454481"/>
  </r>
  <r>
    <s v="ORD1369"/>
    <x v="223"/>
    <s v="CUST125"/>
    <x v="0"/>
    <x v="2"/>
    <s v="Tablet"/>
    <n v="6"/>
    <n v="2177"/>
    <n v="13062"/>
    <n v="2078.9299999999998"/>
    <n v="628.30398329910099"/>
  </r>
  <r>
    <s v="ORD1370"/>
    <x v="73"/>
    <s v="CUST15"/>
    <x v="1"/>
    <x v="2"/>
    <s v="Smartwatch"/>
    <n v="7"/>
    <n v="1156"/>
    <n v="8092"/>
    <n v="1813.04"/>
    <n v="446.32219917927898"/>
  </r>
  <r>
    <s v="ORD1371"/>
    <x v="131"/>
    <s v="CUST89"/>
    <x v="1"/>
    <x v="2"/>
    <s v="Smartphone"/>
    <n v="5"/>
    <n v="2271"/>
    <n v="11355"/>
    <n v="3329.17"/>
    <n v="341.0760039289072"/>
  </r>
  <r>
    <s v="ORD1372"/>
    <x v="12"/>
    <s v="CUST91"/>
    <x v="3"/>
    <x v="2"/>
    <s v="Tablet"/>
    <n v="7"/>
    <n v="603"/>
    <n v="4221"/>
    <n v="1035.96"/>
    <n v="407.4481640217769"/>
  </r>
  <r>
    <s v="ORD1373"/>
    <x v="224"/>
    <s v="CUST150"/>
    <x v="1"/>
    <x v="0"/>
    <s v="Shampoo"/>
    <n v="9"/>
    <n v="4811"/>
    <n v="43299"/>
    <n v="17272.830000000002"/>
    <n v="250.67693018457308"/>
  </r>
  <r>
    <s v="ORD1374"/>
    <x v="75"/>
    <s v="CUST127"/>
    <x v="2"/>
    <x v="3"/>
    <s v="Bed"/>
    <n v="3"/>
    <n v="2979"/>
    <n v="8937"/>
    <n v="1445.49"/>
    <n v="618.26785380735942"/>
  </r>
  <r>
    <s v="ORD1375"/>
    <x v="88"/>
    <s v="CUST36"/>
    <x v="1"/>
    <x v="2"/>
    <s v="Laptop"/>
    <n v="8"/>
    <n v="1587"/>
    <n v="12696"/>
    <n v="4152.71"/>
    <n v="305.72806673232662"/>
  </r>
  <r>
    <s v="ORD1376"/>
    <x v="49"/>
    <s v="CUST139"/>
    <x v="1"/>
    <x v="2"/>
    <s v="Tablet"/>
    <n v="2"/>
    <n v="3653"/>
    <n v="7306"/>
    <n v="2635.18"/>
    <n v="277.24861299797362"/>
  </r>
  <r>
    <s v="ORD1377"/>
    <x v="225"/>
    <s v="CUST41"/>
    <x v="2"/>
    <x v="0"/>
    <s v="Perfume"/>
    <n v="7"/>
    <n v="1155"/>
    <n v="8085"/>
    <n v="2694.66"/>
    <n v="300.03785264189179"/>
  </r>
  <r>
    <s v="ORD1378"/>
    <x v="98"/>
    <s v="CUST81"/>
    <x v="3"/>
    <x v="0"/>
    <s v="Lipstick"/>
    <n v="2"/>
    <n v="1912"/>
    <n v="3824"/>
    <n v="712.81"/>
    <n v="536.46834359787329"/>
  </r>
  <r>
    <s v="ORD1379"/>
    <x v="226"/>
    <s v="CUST14"/>
    <x v="2"/>
    <x v="1"/>
    <s v="T-Shirt"/>
    <n v="4"/>
    <n v="4903"/>
    <n v="19612"/>
    <n v="5967.92"/>
    <n v="328.62370809260176"/>
  </r>
  <r>
    <s v="ORD1380"/>
    <x v="227"/>
    <s v="CUST90"/>
    <x v="1"/>
    <x v="2"/>
    <s v="Smartphone"/>
    <n v="7"/>
    <n v="1473"/>
    <n v="10311"/>
    <n v="3990.59"/>
    <n v="258.38284564437839"/>
  </r>
  <r>
    <s v="ORD1381"/>
    <x v="176"/>
    <s v="CUST10"/>
    <x v="3"/>
    <x v="1"/>
    <s v="Dress"/>
    <n v="3"/>
    <n v="4011"/>
    <n v="12033"/>
    <n v="2694.48"/>
    <n v="446.57967400017816"/>
  </r>
  <r>
    <s v="ORD1382"/>
    <x v="127"/>
    <s v="CUST83"/>
    <x v="1"/>
    <x v="0"/>
    <s v="Shampoo"/>
    <n v="2"/>
    <n v="2825"/>
    <n v="5650"/>
    <n v="1627.63"/>
    <n v="347.13049034485721"/>
  </r>
  <r>
    <s v="ORD1383"/>
    <x v="228"/>
    <s v="CUST95"/>
    <x v="2"/>
    <x v="0"/>
    <s v="Lipstick"/>
    <n v="7"/>
    <n v="2582"/>
    <n v="18074"/>
    <n v="3145.68"/>
    <n v="574.56575366852314"/>
  </r>
  <r>
    <s v="ORD1384"/>
    <x v="219"/>
    <s v="CUST141"/>
    <x v="2"/>
    <x v="3"/>
    <s v="Bookshelf"/>
    <n v="1"/>
    <n v="1641"/>
    <n v="1641"/>
    <n v="476.29"/>
    <n v="344.53799155976401"/>
  </r>
  <r>
    <s v="ORD1385"/>
    <x v="36"/>
    <s v="CUST86"/>
    <x v="1"/>
    <x v="2"/>
    <s v="Headphones"/>
    <n v="8"/>
    <n v="3179"/>
    <n v="25432"/>
    <n v="5099.37"/>
    <n v="498.72827427701856"/>
  </r>
  <r>
    <s v="ORD1386"/>
    <x v="113"/>
    <s v="CUST28"/>
    <x v="0"/>
    <x v="1"/>
    <s v="Jacket"/>
    <n v="3"/>
    <n v="1997"/>
    <n v="5991"/>
    <n v="1673.79"/>
    <n v="357.93020629828118"/>
  </r>
  <r>
    <s v="ORD1387"/>
    <x v="220"/>
    <s v="CUST58"/>
    <x v="0"/>
    <x v="0"/>
    <s v="Perfume"/>
    <n v="2"/>
    <n v="4590"/>
    <n v="9180"/>
    <n v="2875.84"/>
    <n v="319.21108267497493"/>
  </r>
  <r>
    <s v="ORD1388"/>
    <x v="11"/>
    <s v="CUST101"/>
    <x v="2"/>
    <x v="0"/>
    <s v="Lotion"/>
    <n v="3"/>
    <n v="4209"/>
    <n v="12627"/>
    <n v="3914.13"/>
    <n v="322.60042461543179"/>
  </r>
  <r>
    <s v="ORD1389"/>
    <x v="87"/>
    <s v="CUST67"/>
    <x v="2"/>
    <x v="1"/>
    <s v="Jeans"/>
    <n v="5"/>
    <n v="1594"/>
    <n v="7970"/>
    <n v="2134.8000000000002"/>
    <n v="373.33708075697956"/>
  </r>
  <r>
    <s v="ORD1390"/>
    <x v="144"/>
    <s v="CUST94"/>
    <x v="0"/>
    <x v="3"/>
    <s v="Bookshelf"/>
    <n v="8"/>
    <n v="4481"/>
    <n v="35848"/>
    <n v="4311.6400000000003"/>
    <n v="831.42377378445326"/>
  </r>
  <r>
    <s v="ORD1391"/>
    <x v="72"/>
    <s v="CUST97"/>
    <x v="0"/>
    <x v="0"/>
    <s v="Lotion"/>
    <n v="7"/>
    <n v="1469"/>
    <n v="10283"/>
    <n v="1361.25"/>
    <n v="755.40863177226822"/>
  </r>
  <r>
    <s v="ORD1392"/>
    <x v="229"/>
    <s v="CUST95"/>
    <x v="1"/>
    <x v="2"/>
    <s v="Tablet"/>
    <n v="7"/>
    <n v="4932"/>
    <n v="34524"/>
    <n v="10880.67"/>
    <n v="317.29663706371019"/>
  </r>
  <r>
    <s v="ORD1393"/>
    <x v="47"/>
    <s v="CUST142"/>
    <x v="1"/>
    <x v="0"/>
    <s v="Lotion"/>
    <n v="7"/>
    <n v="3914"/>
    <n v="27398"/>
    <n v="3737.89"/>
    <n v="732.98037127898363"/>
  </r>
  <r>
    <s v="ORD1394"/>
    <x v="230"/>
    <s v="CUST132"/>
    <x v="0"/>
    <x v="2"/>
    <s v="Smartwatch"/>
    <n v="8"/>
    <n v="729"/>
    <n v="5832"/>
    <n v="1762.57"/>
    <n v="330.88047566905146"/>
  </r>
  <r>
    <s v="ORD1395"/>
    <x v="231"/>
    <s v="CUST145"/>
    <x v="1"/>
    <x v="1"/>
    <s v="Jeans"/>
    <n v="1"/>
    <n v="3823"/>
    <n v="3823"/>
    <n v="1500"/>
    <n v="254.86666666666667"/>
  </r>
  <r>
    <s v="ORD1396"/>
    <x v="96"/>
    <s v="CUST62"/>
    <x v="1"/>
    <x v="2"/>
    <s v="Tablet"/>
    <n v="4"/>
    <n v="3158"/>
    <n v="12632"/>
    <n v="4092.84"/>
    <n v="308.63654577261752"/>
  </r>
  <r>
    <s v="ORD1397"/>
    <x v="31"/>
    <s v="CUST9"/>
    <x v="3"/>
    <x v="1"/>
    <s v="T-Shirt"/>
    <n v="6"/>
    <n v="3114"/>
    <n v="18684"/>
    <n v="6917.49"/>
    <n v="270.09796906103225"/>
  </r>
  <r>
    <s v="ORD1398"/>
    <x v="232"/>
    <s v="CUST73"/>
    <x v="1"/>
    <x v="2"/>
    <s v="Smartwatch"/>
    <n v="9"/>
    <n v="3791"/>
    <n v="34119"/>
    <n v="5751.42"/>
    <n v="593.22741166529306"/>
  </r>
  <r>
    <s v="ORD1399"/>
    <x v="203"/>
    <s v="CUST20"/>
    <x v="2"/>
    <x v="1"/>
    <s v="T-Shirt"/>
    <n v="2"/>
    <n v="2347"/>
    <n v="4694"/>
    <n v="1761.68"/>
    <n v="266.4502066209527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DD1916-B5D4-4047-B2B6-1CAE21365F82}" name="PivotTable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3:B16" firstHeaderRow="1" firstDataRow="1" firstDataCol="1"/>
  <pivotFields count="13">
    <pivotField showAll="0"/>
    <pivotField numFmtId="22" showAll="0">
      <items count="234">
        <item x="157"/>
        <item x="207"/>
        <item x="104"/>
        <item x="118"/>
        <item x="72"/>
        <item x="8"/>
        <item x="175"/>
        <item x="135"/>
        <item x="34"/>
        <item x="214"/>
        <item x="94"/>
        <item x="63"/>
        <item x="144"/>
        <item x="139"/>
        <item x="136"/>
        <item x="113"/>
        <item x="193"/>
        <item x="191"/>
        <item x="20"/>
        <item x="171"/>
        <item x="103"/>
        <item x="213"/>
        <item x="75"/>
        <item x="174"/>
        <item x="52"/>
        <item x="176"/>
        <item x="93"/>
        <item x="205"/>
        <item x="145"/>
        <item x="190"/>
        <item x="134"/>
        <item x="232"/>
        <item x="25"/>
        <item x="51"/>
        <item x="116"/>
        <item x="64"/>
        <item x="42"/>
        <item x="170"/>
        <item x="208"/>
        <item x="202"/>
        <item x="106"/>
        <item x="195"/>
        <item x="16"/>
        <item x="82"/>
        <item x="79"/>
        <item x="61"/>
        <item x="150"/>
        <item x="169"/>
        <item x="215"/>
        <item x="43"/>
        <item x="39"/>
        <item x="74"/>
        <item x="192"/>
        <item x="203"/>
        <item x="227"/>
        <item x="172"/>
        <item x="142"/>
        <item x="151"/>
        <item x="110"/>
        <item x="121"/>
        <item x="6"/>
        <item x="24"/>
        <item x="91"/>
        <item x="173"/>
        <item x="200"/>
        <item x="197"/>
        <item x="33"/>
        <item x="162"/>
        <item x="47"/>
        <item x="115"/>
        <item x="223"/>
        <item x="167"/>
        <item x="161"/>
        <item x="1"/>
        <item x="66"/>
        <item x="19"/>
        <item x="49"/>
        <item x="122"/>
        <item x="5"/>
        <item x="89"/>
        <item x="229"/>
        <item x="18"/>
        <item x="28"/>
        <item x="70"/>
        <item x="31"/>
        <item x="143"/>
        <item x="152"/>
        <item x="181"/>
        <item x="3"/>
        <item x="137"/>
        <item x="131"/>
        <item x="220"/>
        <item x="168"/>
        <item x="96"/>
        <item x="117"/>
        <item x="165"/>
        <item x="84"/>
        <item x="126"/>
        <item x="73"/>
        <item x="184"/>
        <item x="92"/>
        <item x="56"/>
        <item x="12"/>
        <item x="35"/>
        <item x="154"/>
        <item x="26"/>
        <item x="60"/>
        <item x="216"/>
        <item x="147"/>
        <item x="109"/>
        <item x="54"/>
        <item x="68"/>
        <item x="224"/>
        <item x="187"/>
        <item x="124"/>
        <item x="149"/>
        <item x="153"/>
        <item x="76"/>
        <item x="133"/>
        <item x="90"/>
        <item x="40"/>
        <item x="99"/>
        <item x="183"/>
        <item x="180"/>
        <item x="148"/>
        <item x="0"/>
        <item x="87"/>
        <item x="198"/>
        <item x="98"/>
        <item x="226"/>
        <item x="209"/>
        <item x="211"/>
        <item x="78"/>
        <item x="201"/>
        <item x="212"/>
        <item x="7"/>
        <item x="21"/>
        <item x="196"/>
        <item x="182"/>
        <item x="85"/>
        <item x="22"/>
        <item x="55"/>
        <item x="222"/>
        <item x="15"/>
        <item x="111"/>
        <item x="179"/>
        <item x="166"/>
        <item x="97"/>
        <item x="218"/>
        <item x="140"/>
        <item x="100"/>
        <item x="36"/>
        <item x="81"/>
        <item x="119"/>
        <item x="160"/>
        <item x="11"/>
        <item x="32"/>
        <item x="80"/>
        <item x="120"/>
        <item x="125"/>
        <item x="50"/>
        <item x="29"/>
        <item x="86"/>
        <item x="41"/>
        <item x="146"/>
        <item x="46"/>
        <item x="95"/>
        <item x="9"/>
        <item x="228"/>
        <item x="127"/>
        <item x="62"/>
        <item x="185"/>
        <item x="88"/>
        <item x="138"/>
        <item x="217"/>
        <item x="23"/>
        <item x="188"/>
        <item x="159"/>
        <item x="83"/>
        <item x="178"/>
        <item x="57"/>
        <item x="102"/>
        <item x="155"/>
        <item x="77"/>
        <item x="14"/>
        <item x="30"/>
        <item x="53"/>
        <item x="158"/>
        <item x="210"/>
        <item x="128"/>
        <item x="45"/>
        <item x="69"/>
        <item x="194"/>
        <item x="164"/>
        <item x="107"/>
        <item x="186"/>
        <item x="2"/>
        <item x="219"/>
        <item x="177"/>
        <item x="231"/>
        <item x="58"/>
        <item x="48"/>
        <item x="37"/>
        <item x="156"/>
        <item x="189"/>
        <item x="114"/>
        <item x="123"/>
        <item x="27"/>
        <item x="230"/>
        <item x="112"/>
        <item x="71"/>
        <item x="132"/>
        <item x="163"/>
        <item x="129"/>
        <item x="105"/>
        <item x="225"/>
        <item x="221"/>
        <item x="59"/>
        <item x="65"/>
        <item x="17"/>
        <item x="141"/>
        <item x="4"/>
        <item x="44"/>
        <item x="13"/>
        <item x="204"/>
        <item x="108"/>
        <item x="10"/>
        <item x="67"/>
        <item x="130"/>
        <item x="206"/>
        <item x="38"/>
        <item x="101"/>
        <item x="199"/>
        <item t="default"/>
      </items>
    </pivotField>
    <pivotField showAll="0"/>
    <pivotField showAll="0">
      <items count="5">
        <item x="0"/>
        <item x="2"/>
        <item x="3"/>
        <item x="1"/>
        <item t="default"/>
      </items>
    </pivotField>
    <pivotField showAll="0">
      <items count="5">
        <item x="0"/>
        <item x="1"/>
        <item x="2"/>
        <item x="3"/>
        <item t="default"/>
      </items>
    </pivotField>
    <pivotField showAll="0"/>
    <pivotField showAll="0"/>
    <pivotField showAll="0"/>
    <pivotField dataField="1"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13">
    <i>
      <x v="1"/>
    </i>
    <i>
      <x v="2"/>
    </i>
    <i>
      <x v="3"/>
    </i>
    <i>
      <x v="4"/>
    </i>
    <i>
      <x v="5"/>
    </i>
    <i>
      <x v="6"/>
    </i>
    <i>
      <x v="7"/>
    </i>
    <i>
      <x v="8"/>
    </i>
    <i>
      <x v="9"/>
    </i>
    <i>
      <x v="10"/>
    </i>
    <i>
      <x v="11"/>
    </i>
    <i>
      <x v="12"/>
    </i>
    <i t="grand">
      <x/>
    </i>
  </rowItems>
  <colItems count="1">
    <i/>
  </colItems>
  <dataFields count="1">
    <dataField name="Sum of Sales" fld="8" baseField="0" baseItem="0"/>
  </dataField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B63CAD-6BB6-4230-891C-62CDA4F9A054}" name="PivotTable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8" firstHeaderRow="1" firstDataRow="1" firstDataCol="1"/>
  <pivotFields count="13">
    <pivotField showAll="0"/>
    <pivotField numFmtId="22" showAll="0">
      <items count="234">
        <item x="157"/>
        <item x="207"/>
        <item x="104"/>
        <item x="118"/>
        <item x="72"/>
        <item x="8"/>
        <item x="175"/>
        <item x="135"/>
        <item x="34"/>
        <item x="214"/>
        <item x="94"/>
        <item x="63"/>
        <item x="144"/>
        <item x="139"/>
        <item x="136"/>
        <item x="113"/>
        <item x="193"/>
        <item x="191"/>
        <item x="20"/>
        <item x="171"/>
        <item x="103"/>
        <item x="213"/>
        <item x="75"/>
        <item x="174"/>
        <item x="52"/>
        <item x="176"/>
        <item x="93"/>
        <item x="205"/>
        <item x="145"/>
        <item x="190"/>
        <item x="134"/>
        <item x="232"/>
        <item x="25"/>
        <item x="51"/>
        <item x="116"/>
        <item x="64"/>
        <item x="42"/>
        <item x="170"/>
        <item x="208"/>
        <item x="202"/>
        <item x="106"/>
        <item x="195"/>
        <item x="16"/>
        <item x="82"/>
        <item x="79"/>
        <item x="61"/>
        <item x="150"/>
        <item x="169"/>
        <item x="215"/>
        <item x="43"/>
        <item x="39"/>
        <item x="74"/>
        <item x="192"/>
        <item x="203"/>
        <item x="227"/>
        <item x="172"/>
        <item x="142"/>
        <item x="151"/>
        <item x="110"/>
        <item x="121"/>
        <item x="6"/>
        <item x="24"/>
        <item x="91"/>
        <item x="173"/>
        <item x="200"/>
        <item x="197"/>
        <item x="33"/>
        <item x="162"/>
        <item x="47"/>
        <item x="115"/>
        <item x="223"/>
        <item x="167"/>
        <item x="161"/>
        <item x="1"/>
        <item x="66"/>
        <item x="19"/>
        <item x="49"/>
        <item x="122"/>
        <item x="5"/>
        <item x="89"/>
        <item x="229"/>
        <item x="18"/>
        <item x="28"/>
        <item x="70"/>
        <item x="31"/>
        <item x="143"/>
        <item x="152"/>
        <item x="181"/>
        <item x="3"/>
        <item x="137"/>
        <item x="131"/>
        <item x="220"/>
        <item x="168"/>
        <item x="96"/>
        <item x="117"/>
        <item x="165"/>
        <item x="84"/>
        <item x="126"/>
        <item x="73"/>
        <item x="184"/>
        <item x="92"/>
        <item x="56"/>
        <item x="12"/>
        <item x="35"/>
        <item x="154"/>
        <item x="26"/>
        <item x="60"/>
        <item x="216"/>
        <item x="147"/>
        <item x="109"/>
        <item x="54"/>
        <item x="68"/>
        <item x="224"/>
        <item x="187"/>
        <item x="124"/>
        <item x="149"/>
        <item x="153"/>
        <item x="76"/>
        <item x="133"/>
        <item x="90"/>
        <item x="40"/>
        <item x="99"/>
        <item x="183"/>
        <item x="180"/>
        <item x="148"/>
        <item x="0"/>
        <item x="87"/>
        <item x="198"/>
        <item x="98"/>
        <item x="226"/>
        <item x="209"/>
        <item x="211"/>
        <item x="78"/>
        <item x="201"/>
        <item x="212"/>
        <item x="7"/>
        <item x="21"/>
        <item x="196"/>
        <item x="182"/>
        <item x="85"/>
        <item x="22"/>
        <item x="55"/>
        <item x="222"/>
        <item x="15"/>
        <item x="111"/>
        <item x="179"/>
        <item x="166"/>
        <item x="97"/>
        <item x="218"/>
        <item x="140"/>
        <item x="100"/>
        <item x="36"/>
        <item x="81"/>
        <item x="119"/>
        <item x="160"/>
        <item x="11"/>
        <item x="32"/>
        <item x="80"/>
        <item x="120"/>
        <item x="125"/>
        <item x="50"/>
        <item x="29"/>
        <item x="86"/>
        <item x="41"/>
        <item x="146"/>
        <item x="46"/>
        <item x="95"/>
        <item x="9"/>
        <item x="228"/>
        <item x="127"/>
        <item x="62"/>
        <item x="185"/>
        <item x="88"/>
        <item x="138"/>
        <item x="217"/>
        <item x="23"/>
        <item x="188"/>
        <item x="159"/>
        <item x="83"/>
        <item x="178"/>
        <item x="57"/>
        <item x="102"/>
        <item x="155"/>
        <item x="77"/>
        <item x="14"/>
        <item x="30"/>
        <item x="53"/>
        <item x="158"/>
        <item x="210"/>
        <item x="128"/>
        <item x="45"/>
        <item x="69"/>
        <item x="194"/>
        <item x="164"/>
        <item x="107"/>
        <item x="186"/>
        <item x="2"/>
        <item x="219"/>
        <item x="177"/>
        <item x="231"/>
        <item x="58"/>
        <item x="48"/>
        <item x="37"/>
        <item x="156"/>
        <item x="189"/>
        <item x="114"/>
        <item x="123"/>
        <item x="27"/>
        <item x="230"/>
        <item x="112"/>
        <item x="71"/>
        <item x="132"/>
        <item x="163"/>
        <item x="129"/>
        <item x="105"/>
        <item x="225"/>
        <item x="221"/>
        <item x="59"/>
        <item x="65"/>
        <item x="17"/>
        <item x="141"/>
        <item x="4"/>
        <item x="44"/>
        <item x="13"/>
        <item x="204"/>
        <item x="108"/>
        <item x="10"/>
        <item x="67"/>
        <item x="130"/>
        <item x="206"/>
        <item x="38"/>
        <item x="101"/>
        <item x="199"/>
        <item t="default"/>
      </items>
    </pivotField>
    <pivotField showAll="0"/>
    <pivotField showAll="0">
      <items count="5">
        <item x="0"/>
        <item x="2"/>
        <item x="3"/>
        <item x="1"/>
        <item t="default"/>
      </items>
    </pivotField>
    <pivotField axis="axisRow" showAll="0">
      <items count="5">
        <item x="0"/>
        <item x="1"/>
        <item x="2"/>
        <item x="3"/>
        <item t="default"/>
      </items>
    </pivotField>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E19E96-DB7D-470E-8733-891A3E3D09C2}" name="PivotTable5"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8" firstHeaderRow="1" firstDataRow="1" firstDataCol="1"/>
  <pivotFields count="13">
    <pivotField showAll="0"/>
    <pivotField numFmtId="22" showAll="0">
      <items count="234">
        <item x="157"/>
        <item x="207"/>
        <item x="104"/>
        <item x="118"/>
        <item x="72"/>
        <item x="8"/>
        <item x="175"/>
        <item x="135"/>
        <item x="34"/>
        <item x="214"/>
        <item x="94"/>
        <item x="63"/>
        <item x="144"/>
        <item x="139"/>
        <item x="136"/>
        <item x="113"/>
        <item x="193"/>
        <item x="191"/>
        <item x="20"/>
        <item x="171"/>
        <item x="103"/>
        <item x="213"/>
        <item x="75"/>
        <item x="174"/>
        <item x="52"/>
        <item x="176"/>
        <item x="93"/>
        <item x="205"/>
        <item x="145"/>
        <item x="190"/>
        <item x="134"/>
        <item x="232"/>
        <item x="25"/>
        <item x="51"/>
        <item x="116"/>
        <item x="64"/>
        <item x="42"/>
        <item x="170"/>
        <item x="208"/>
        <item x="202"/>
        <item x="106"/>
        <item x="195"/>
        <item x="16"/>
        <item x="82"/>
        <item x="79"/>
        <item x="61"/>
        <item x="150"/>
        <item x="169"/>
        <item x="215"/>
        <item x="43"/>
        <item x="39"/>
        <item x="74"/>
        <item x="192"/>
        <item x="203"/>
        <item x="227"/>
        <item x="172"/>
        <item x="142"/>
        <item x="151"/>
        <item x="110"/>
        <item x="121"/>
        <item x="6"/>
        <item x="24"/>
        <item x="91"/>
        <item x="173"/>
        <item x="200"/>
        <item x="197"/>
        <item x="33"/>
        <item x="162"/>
        <item x="47"/>
        <item x="115"/>
        <item x="223"/>
        <item x="167"/>
        <item x="161"/>
        <item x="1"/>
        <item x="66"/>
        <item x="19"/>
        <item x="49"/>
        <item x="122"/>
        <item x="5"/>
        <item x="89"/>
        <item x="229"/>
        <item x="18"/>
        <item x="28"/>
        <item x="70"/>
        <item x="31"/>
        <item x="143"/>
        <item x="152"/>
        <item x="181"/>
        <item x="3"/>
        <item x="137"/>
        <item x="131"/>
        <item x="220"/>
        <item x="168"/>
        <item x="96"/>
        <item x="117"/>
        <item x="165"/>
        <item x="84"/>
        <item x="126"/>
        <item x="73"/>
        <item x="184"/>
        <item x="92"/>
        <item x="56"/>
        <item x="12"/>
        <item x="35"/>
        <item x="154"/>
        <item x="26"/>
        <item x="60"/>
        <item x="216"/>
        <item x="147"/>
        <item x="109"/>
        <item x="54"/>
        <item x="68"/>
        <item x="224"/>
        <item x="187"/>
        <item x="124"/>
        <item x="149"/>
        <item x="153"/>
        <item x="76"/>
        <item x="133"/>
        <item x="90"/>
        <item x="40"/>
        <item x="99"/>
        <item x="183"/>
        <item x="180"/>
        <item x="148"/>
        <item x="0"/>
        <item x="87"/>
        <item x="198"/>
        <item x="98"/>
        <item x="226"/>
        <item x="209"/>
        <item x="211"/>
        <item x="78"/>
        <item x="201"/>
        <item x="212"/>
        <item x="7"/>
        <item x="21"/>
        <item x="196"/>
        <item x="182"/>
        <item x="85"/>
        <item x="22"/>
        <item x="55"/>
        <item x="222"/>
        <item x="15"/>
        <item x="111"/>
        <item x="179"/>
        <item x="166"/>
        <item x="97"/>
        <item x="218"/>
        <item x="140"/>
        <item x="100"/>
        <item x="36"/>
        <item x="81"/>
        <item x="119"/>
        <item x="160"/>
        <item x="11"/>
        <item x="32"/>
        <item x="80"/>
        <item x="120"/>
        <item x="125"/>
        <item x="50"/>
        <item x="29"/>
        <item x="86"/>
        <item x="41"/>
        <item x="146"/>
        <item x="46"/>
        <item x="95"/>
        <item x="9"/>
        <item x="228"/>
        <item x="127"/>
        <item x="62"/>
        <item x="185"/>
        <item x="88"/>
        <item x="138"/>
        <item x="217"/>
        <item x="23"/>
        <item x="188"/>
        <item x="159"/>
        <item x="83"/>
        <item x="178"/>
        <item x="57"/>
        <item x="102"/>
        <item x="155"/>
        <item x="77"/>
        <item x="14"/>
        <item x="30"/>
        <item x="53"/>
        <item x="158"/>
        <item x="210"/>
        <item x="128"/>
        <item x="45"/>
        <item x="69"/>
        <item x="194"/>
        <item x="164"/>
        <item x="107"/>
        <item x="186"/>
        <item x="2"/>
        <item x="219"/>
        <item x="177"/>
        <item x="231"/>
        <item x="58"/>
        <item x="48"/>
        <item x="37"/>
        <item x="156"/>
        <item x="189"/>
        <item x="114"/>
        <item x="123"/>
        <item x="27"/>
        <item x="230"/>
        <item x="112"/>
        <item x="71"/>
        <item x="132"/>
        <item x="163"/>
        <item x="129"/>
        <item x="105"/>
        <item x="225"/>
        <item x="221"/>
        <item x="59"/>
        <item x="65"/>
        <item x="17"/>
        <item x="141"/>
        <item x="4"/>
        <item x="44"/>
        <item x="13"/>
        <item x="204"/>
        <item x="108"/>
        <item x="10"/>
        <item x="67"/>
        <item x="130"/>
        <item x="206"/>
        <item x="38"/>
        <item x="101"/>
        <item x="199"/>
        <item t="default"/>
      </items>
    </pivotField>
    <pivotField showAll="0"/>
    <pivotField showAll="0">
      <items count="5">
        <item x="0"/>
        <item x="2"/>
        <item x="3"/>
        <item x="1"/>
        <item t="default"/>
      </items>
    </pivotField>
    <pivotField axis="axisRow" showAll="0">
      <items count="5">
        <item x="0"/>
        <item x="1"/>
        <item x="2"/>
        <item x="3"/>
        <item t="default"/>
      </items>
    </pivotField>
    <pivotField showAll="0"/>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5">
    <i>
      <x/>
    </i>
    <i>
      <x v="1"/>
    </i>
    <i>
      <x v="2"/>
    </i>
    <i>
      <x v="3"/>
    </i>
    <i t="grand">
      <x/>
    </i>
  </rowItems>
  <colItems count="1">
    <i/>
  </colItems>
  <dataFields count="1">
    <dataField name="Average of profit_margin" fld="10" subtotal="average"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4A0A056-A0BC-474F-B561-96DDF36B7FC1}" name="PivotTable6"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8" firstHeaderRow="1" firstDataRow="1" firstDataCol="1"/>
  <pivotFields count="13">
    <pivotField showAll="0"/>
    <pivotField numFmtId="22" showAll="0">
      <items count="234">
        <item x="157"/>
        <item x="207"/>
        <item x="104"/>
        <item x="118"/>
        <item x="72"/>
        <item x="8"/>
        <item x="175"/>
        <item x="135"/>
        <item x="34"/>
        <item x="214"/>
        <item x="94"/>
        <item x="63"/>
        <item x="144"/>
        <item x="139"/>
        <item x="136"/>
        <item x="113"/>
        <item x="193"/>
        <item x="191"/>
        <item x="20"/>
        <item x="171"/>
        <item x="103"/>
        <item x="213"/>
        <item x="75"/>
        <item x="174"/>
        <item x="52"/>
        <item x="176"/>
        <item x="93"/>
        <item x="205"/>
        <item x="145"/>
        <item x="190"/>
        <item x="134"/>
        <item x="232"/>
        <item x="25"/>
        <item x="51"/>
        <item x="116"/>
        <item x="64"/>
        <item x="42"/>
        <item x="170"/>
        <item x="208"/>
        <item x="202"/>
        <item x="106"/>
        <item x="195"/>
        <item x="16"/>
        <item x="82"/>
        <item x="79"/>
        <item x="61"/>
        <item x="150"/>
        <item x="169"/>
        <item x="215"/>
        <item x="43"/>
        <item x="39"/>
        <item x="74"/>
        <item x="192"/>
        <item x="203"/>
        <item x="227"/>
        <item x="172"/>
        <item x="142"/>
        <item x="151"/>
        <item x="110"/>
        <item x="121"/>
        <item x="6"/>
        <item x="24"/>
        <item x="91"/>
        <item x="173"/>
        <item x="200"/>
        <item x="197"/>
        <item x="33"/>
        <item x="162"/>
        <item x="47"/>
        <item x="115"/>
        <item x="223"/>
        <item x="167"/>
        <item x="161"/>
        <item x="1"/>
        <item x="66"/>
        <item x="19"/>
        <item x="49"/>
        <item x="122"/>
        <item x="5"/>
        <item x="89"/>
        <item x="229"/>
        <item x="18"/>
        <item x="28"/>
        <item x="70"/>
        <item x="31"/>
        <item x="143"/>
        <item x="152"/>
        <item x="181"/>
        <item x="3"/>
        <item x="137"/>
        <item x="131"/>
        <item x="220"/>
        <item x="168"/>
        <item x="96"/>
        <item x="117"/>
        <item x="165"/>
        <item x="84"/>
        <item x="126"/>
        <item x="73"/>
        <item x="184"/>
        <item x="92"/>
        <item x="56"/>
        <item x="12"/>
        <item x="35"/>
        <item x="154"/>
        <item x="26"/>
        <item x="60"/>
        <item x="216"/>
        <item x="147"/>
        <item x="109"/>
        <item x="54"/>
        <item x="68"/>
        <item x="224"/>
        <item x="187"/>
        <item x="124"/>
        <item x="149"/>
        <item x="153"/>
        <item x="76"/>
        <item x="133"/>
        <item x="90"/>
        <item x="40"/>
        <item x="99"/>
        <item x="183"/>
        <item x="180"/>
        <item x="148"/>
        <item x="0"/>
        <item x="87"/>
        <item x="198"/>
        <item x="98"/>
        <item x="226"/>
        <item x="209"/>
        <item x="211"/>
        <item x="78"/>
        <item x="201"/>
        <item x="212"/>
        <item x="7"/>
        <item x="21"/>
        <item x="196"/>
        <item x="182"/>
        <item x="85"/>
        <item x="22"/>
        <item x="55"/>
        <item x="222"/>
        <item x="15"/>
        <item x="111"/>
        <item x="179"/>
        <item x="166"/>
        <item x="97"/>
        <item x="218"/>
        <item x="140"/>
        <item x="100"/>
        <item x="36"/>
        <item x="81"/>
        <item x="119"/>
        <item x="160"/>
        <item x="11"/>
        <item x="32"/>
        <item x="80"/>
        <item x="120"/>
        <item x="125"/>
        <item x="50"/>
        <item x="29"/>
        <item x="86"/>
        <item x="41"/>
        <item x="146"/>
        <item x="46"/>
        <item x="95"/>
        <item x="9"/>
        <item x="228"/>
        <item x="127"/>
        <item x="62"/>
        <item x="185"/>
        <item x="88"/>
        <item x="138"/>
        <item x="217"/>
        <item x="23"/>
        <item x="188"/>
        <item x="159"/>
        <item x="83"/>
        <item x="178"/>
        <item x="57"/>
        <item x="102"/>
        <item x="155"/>
        <item x="77"/>
        <item x="14"/>
        <item x="30"/>
        <item x="53"/>
        <item x="158"/>
        <item x="210"/>
        <item x="128"/>
        <item x="45"/>
        <item x="69"/>
        <item x="194"/>
        <item x="164"/>
        <item x="107"/>
        <item x="186"/>
        <item x="2"/>
        <item x="219"/>
        <item x="177"/>
        <item x="231"/>
        <item x="58"/>
        <item x="48"/>
        <item x="37"/>
        <item x="156"/>
        <item x="189"/>
        <item x="114"/>
        <item x="123"/>
        <item x="27"/>
        <item x="230"/>
        <item x="112"/>
        <item x="71"/>
        <item x="132"/>
        <item x="163"/>
        <item x="129"/>
        <item x="105"/>
        <item x="225"/>
        <item x="221"/>
        <item x="59"/>
        <item x="65"/>
        <item x="17"/>
        <item x="141"/>
        <item x="4"/>
        <item x="44"/>
        <item x="13"/>
        <item x="204"/>
        <item x="108"/>
        <item x="10"/>
        <item x="67"/>
        <item x="130"/>
        <item x="206"/>
        <item x="38"/>
        <item x="101"/>
        <item x="199"/>
        <item t="default"/>
      </items>
    </pivotField>
    <pivotField showAll="0"/>
    <pivotField axis="axisRow" showAll="0">
      <items count="5">
        <item x="0"/>
        <item x="2"/>
        <item x="3"/>
        <item x="1"/>
        <item t="default"/>
      </items>
    </pivotField>
    <pivotField showAll="0">
      <items count="5">
        <item x="0"/>
        <item x="1"/>
        <item x="2"/>
        <item x="3"/>
        <item t="default"/>
      </items>
    </pivotField>
    <pivotField showAll="0"/>
    <pivotField showAll="0"/>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5">
    <i>
      <x/>
    </i>
    <i>
      <x v="1"/>
    </i>
    <i>
      <x v="2"/>
    </i>
    <i>
      <x v="3"/>
    </i>
    <i t="grand">
      <x/>
    </i>
  </rowItems>
  <colItems count="1">
    <i/>
  </colItems>
  <dataFields count="1">
    <dataField name="Sum of Profit2"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6C242E1-21EB-4B62-BC8D-AFDCED6E7B0D}" name="PivotTable7"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A3:B8" firstHeaderRow="1" firstDataRow="1" firstDataCol="1"/>
  <pivotFields count="13">
    <pivotField showAll="0"/>
    <pivotField numFmtId="22" showAll="0">
      <items count="234">
        <item x="157"/>
        <item x="207"/>
        <item x="104"/>
        <item x="118"/>
        <item x="72"/>
        <item x="8"/>
        <item x="175"/>
        <item x="135"/>
        <item x="34"/>
        <item x="214"/>
        <item x="94"/>
        <item x="63"/>
        <item x="144"/>
        <item x="139"/>
        <item x="136"/>
        <item x="113"/>
        <item x="193"/>
        <item x="191"/>
        <item x="20"/>
        <item x="171"/>
        <item x="103"/>
        <item x="213"/>
        <item x="75"/>
        <item x="174"/>
        <item x="52"/>
        <item x="176"/>
        <item x="93"/>
        <item x="205"/>
        <item x="145"/>
        <item x="190"/>
        <item x="134"/>
        <item x="232"/>
        <item x="25"/>
        <item x="51"/>
        <item x="116"/>
        <item x="64"/>
        <item x="42"/>
        <item x="170"/>
        <item x="208"/>
        <item x="202"/>
        <item x="106"/>
        <item x="195"/>
        <item x="16"/>
        <item x="82"/>
        <item x="79"/>
        <item x="61"/>
        <item x="150"/>
        <item x="169"/>
        <item x="215"/>
        <item x="43"/>
        <item x="39"/>
        <item x="74"/>
        <item x="192"/>
        <item x="203"/>
        <item x="227"/>
        <item x="172"/>
        <item x="142"/>
        <item x="151"/>
        <item x="110"/>
        <item x="121"/>
        <item x="6"/>
        <item x="24"/>
        <item x="91"/>
        <item x="173"/>
        <item x="200"/>
        <item x="197"/>
        <item x="33"/>
        <item x="162"/>
        <item x="47"/>
        <item x="115"/>
        <item x="223"/>
        <item x="167"/>
        <item x="161"/>
        <item x="1"/>
        <item x="66"/>
        <item x="19"/>
        <item x="49"/>
        <item x="122"/>
        <item x="5"/>
        <item x="89"/>
        <item x="229"/>
        <item x="18"/>
        <item x="28"/>
        <item x="70"/>
        <item x="31"/>
        <item x="143"/>
        <item x="152"/>
        <item x="181"/>
        <item x="3"/>
        <item x="137"/>
        <item x="131"/>
        <item x="220"/>
        <item x="168"/>
        <item x="96"/>
        <item x="117"/>
        <item x="165"/>
        <item x="84"/>
        <item x="126"/>
        <item x="73"/>
        <item x="184"/>
        <item x="92"/>
        <item x="56"/>
        <item x="12"/>
        <item x="35"/>
        <item x="154"/>
        <item x="26"/>
        <item x="60"/>
        <item x="216"/>
        <item x="147"/>
        <item x="109"/>
        <item x="54"/>
        <item x="68"/>
        <item x="224"/>
        <item x="187"/>
        <item x="124"/>
        <item x="149"/>
        <item x="153"/>
        <item x="76"/>
        <item x="133"/>
        <item x="90"/>
        <item x="40"/>
        <item x="99"/>
        <item x="183"/>
        <item x="180"/>
        <item x="148"/>
        <item x="0"/>
        <item x="87"/>
        <item x="198"/>
        <item x="98"/>
        <item x="226"/>
        <item x="209"/>
        <item x="211"/>
        <item x="78"/>
        <item x="201"/>
        <item x="212"/>
        <item x="7"/>
        <item x="21"/>
        <item x="196"/>
        <item x="182"/>
        <item x="85"/>
        <item x="22"/>
        <item x="55"/>
        <item x="222"/>
        <item x="15"/>
        <item x="111"/>
        <item x="179"/>
        <item x="166"/>
        <item x="97"/>
        <item x="218"/>
        <item x="140"/>
        <item x="100"/>
        <item x="36"/>
        <item x="81"/>
        <item x="119"/>
        <item x="160"/>
        <item x="11"/>
        <item x="32"/>
        <item x="80"/>
        <item x="120"/>
        <item x="125"/>
        <item x="50"/>
        <item x="29"/>
        <item x="86"/>
        <item x="41"/>
        <item x="146"/>
        <item x="46"/>
        <item x="95"/>
        <item x="9"/>
        <item x="228"/>
        <item x="127"/>
        <item x="62"/>
        <item x="185"/>
        <item x="88"/>
        <item x="138"/>
        <item x="217"/>
        <item x="23"/>
        <item x="188"/>
        <item x="159"/>
        <item x="83"/>
        <item x="178"/>
        <item x="57"/>
        <item x="102"/>
        <item x="155"/>
        <item x="77"/>
        <item x="14"/>
        <item x="30"/>
        <item x="53"/>
        <item x="158"/>
        <item x="210"/>
        <item x="128"/>
        <item x="45"/>
        <item x="69"/>
        <item x="194"/>
        <item x="164"/>
        <item x="107"/>
        <item x="186"/>
        <item x="2"/>
        <item x="219"/>
        <item x="177"/>
        <item x="231"/>
        <item x="58"/>
        <item x="48"/>
        <item x="37"/>
        <item x="156"/>
        <item x="189"/>
        <item x="114"/>
        <item x="123"/>
        <item x="27"/>
        <item x="230"/>
        <item x="112"/>
        <item x="71"/>
        <item x="132"/>
        <item x="163"/>
        <item x="129"/>
        <item x="105"/>
        <item x="225"/>
        <item x="221"/>
        <item x="59"/>
        <item x="65"/>
        <item x="17"/>
        <item x="141"/>
        <item x="4"/>
        <item x="44"/>
        <item x="13"/>
        <item x="204"/>
        <item x="108"/>
        <item x="10"/>
        <item x="67"/>
        <item x="130"/>
        <item x="206"/>
        <item x="38"/>
        <item x="101"/>
        <item x="199"/>
        <item t="default"/>
      </items>
    </pivotField>
    <pivotField showAll="0"/>
    <pivotField axis="axisRow" showAll="0">
      <items count="5">
        <item x="0"/>
        <item x="2"/>
        <item x="3"/>
        <item x="1"/>
        <item t="default"/>
      </items>
    </pivotField>
    <pivotField showAll="0">
      <items count="5">
        <item x="0"/>
        <item x="1"/>
        <item x="2"/>
        <item x="3"/>
        <item t="default"/>
      </items>
    </pivotField>
    <pivotField showAll="0"/>
    <pivotField showAll="0"/>
    <pivotField showAll="0"/>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5">
    <i>
      <x/>
    </i>
    <i>
      <x v="1"/>
    </i>
    <i>
      <x v="2"/>
    </i>
    <i>
      <x v="3"/>
    </i>
    <i t="grand">
      <x/>
    </i>
  </rowItems>
  <colItems count="1">
    <i/>
  </colItems>
  <dataFields count="1">
    <dataField name="Sum of Sales" fld="8" baseField="0" baseItem="0"/>
  </dataFields>
  <formats count="12">
    <format dxfId="111">
      <pivotArea type="all" dataOnly="0" outline="0" fieldPosition="0"/>
    </format>
    <format dxfId="110">
      <pivotArea outline="0" collapsedLevelsAreSubtotals="1" fieldPosition="0"/>
    </format>
    <format dxfId="109">
      <pivotArea field="3" type="button" dataOnly="0" labelOnly="1" outline="0" axis="axisRow" fieldPosition="0"/>
    </format>
    <format dxfId="108">
      <pivotArea dataOnly="0" labelOnly="1" fieldPosition="0">
        <references count="1">
          <reference field="3" count="0"/>
        </references>
      </pivotArea>
    </format>
    <format dxfId="107">
      <pivotArea dataOnly="0" labelOnly="1" grandRow="1" outline="0" fieldPosition="0"/>
    </format>
    <format dxfId="106">
      <pivotArea dataOnly="0" labelOnly="1" outline="0" axis="axisValues" fieldPosition="0"/>
    </format>
    <format dxfId="96">
      <pivotArea type="all" dataOnly="0" outline="0" fieldPosition="0"/>
    </format>
    <format dxfId="89">
      <pivotArea outline="0" collapsedLevelsAreSubtotals="1" fieldPosition="0"/>
    </format>
    <format dxfId="88">
      <pivotArea field="3" type="button" dataOnly="0" labelOnly="1" outline="0" axis="axisRow" fieldPosition="0"/>
    </format>
    <format dxfId="87">
      <pivotArea dataOnly="0" labelOnly="1" fieldPosition="0">
        <references count="1">
          <reference field="3" count="0"/>
        </references>
      </pivotArea>
    </format>
    <format dxfId="86">
      <pivotArea dataOnly="0" labelOnly="1" grandRow="1" outline="0" fieldPosition="0"/>
    </format>
    <format dxfId="85">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D298222-0FED-4F23-9CD6-18EFE9F3BD2D}" name="PivotTable9"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8" firstHeaderRow="1" firstDataRow="1" firstDataCol="1"/>
  <pivotFields count="13">
    <pivotField showAll="0"/>
    <pivotField numFmtId="22" showAll="0">
      <items count="234">
        <item x="157"/>
        <item x="207"/>
        <item x="104"/>
        <item x="118"/>
        <item x="72"/>
        <item x="8"/>
        <item x="175"/>
        <item x="135"/>
        <item x="34"/>
        <item x="214"/>
        <item x="94"/>
        <item x="63"/>
        <item x="144"/>
        <item x="139"/>
        <item x="136"/>
        <item x="113"/>
        <item x="193"/>
        <item x="191"/>
        <item x="20"/>
        <item x="171"/>
        <item x="103"/>
        <item x="213"/>
        <item x="75"/>
        <item x="174"/>
        <item x="52"/>
        <item x="176"/>
        <item x="93"/>
        <item x="205"/>
        <item x="145"/>
        <item x="190"/>
        <item x="134"/>
        <item x="232"/>
        <item x="25"/>
        <item x="51"/>
        <item x="116"/>
        <item x="64"/>
        <item x="42"/>
        <item x="170"/>
        <item x="208"/>
        <item x="202"/>
        <item x="106"/>
        <item x="195"/>
        <item x="16"/>
        <item x="82"/>
        <item x="79"/>
        <item x="61"/>
        <item x="150"/>
        <item x="169"/>
        <item x="215"/>
        <item x="43"/>
        <item x="39"/>
        <item x="74"/>
        <item x="192"/>
        <item x="203"/>
        <item x="227"/>
        <item x="172"/>
        <item x="142"/>
        <item x="151"/>
        <item x="110"/>
        <item x="121"/>
        <item x="6"/>
        <item x="24"/>
        <item x="91"/>
        <item x="173"/>
        <item x="200"/>
        <item x="197"/>
        <item x="33"/>
        <item x="162"/>
        <item x="47"/>
        <item x="115"/>
        <item x="223"/>
        <item x="167"/>
        <item x="161"/>
        <item x="1"/>
        <item x="66"/>
        <item x="19"/>
        <item x="49"/>
        <item x="122"/>
        <item x="5"/>
        <item x="89"/>
        <item x="229"/>
        <item x="18"/>
        <item x="28"/>
        <item x="70"/>
        <item x="31"/>
        <item x="143"/>
        <item x="152"/>
        <item x="181"/>
        <item x="3"/>
        <item x="137"/>
        <item x="131"/>
        <item x="220"/>
        <item x="168"/>
        <item x="96"/>
        <item x="117"/>
        <item x="165"/>
        <item x="84"/>
        <item x="126"/>
        <item x="73"/>
        <item x="184"/>
        <item x="92"/>
        <item x="56"/>
        <item x="12"/>
        <item x="35"/>
        <item x="154"/>
        <item x="26"/>
        <item x="60"/>
        <item x="216"/>
        <item x="147"/>
        <item x="109"/>
        <item x="54"/>
        <item x="68"/>
        <item x="224"/>
        <item x="187"/>
        <item x="124"/>
        <item x="149"/>
        <item x="153"/>
        <item x="76"/>
        <item x="133"/>
        <item x="90"/>
        <item x="40"/>
        <item x="99"/>
        <item x="183"/>
        <item x="180"/>
        <item x="148"/>
        <item x="0"/>
        <item x="87"/>
        <item x="198"/>
        <item x="98"/>
        <item x="226"/>
        <item x="209"/>
        <item x="211"/>
        <item x="78"/>
        <item x="201"/>
        <item x="212"/>
        <item x="7"/>
        <item x="21"/>
        <item x="196"/>
        <item x="182"/>
        <item x="85"/>
        <item x="22"/>
        <item x="55"/>
        <item x="222"/>
        <item x="15"/>
        <item x="111"/>
        <item x="179"/>
        <item x="166"/>
        <item x="97"/>
        <item x="218"/>
        <item x="140"/>
        <item x="100"/>
        <item x="36"/>
        <item x="81"/>
        <item x="119"/>
        <item x="160"/>
        <item x="11"/>
        <item x="32"/>
        <item x="80"/>
        <item x="120"/>
        <item x="125"/>
        <item x="50"/>
        <item x="29"/>
        <item x="86"/>
        <item x="41"/>
        <item x="146"/>
        <item x="46"/>
        <item x="95"/>
        <item x="9"/>
        <item x="228"/>
        <item x="127"/>
        <item x="62"/>
        <item x="185"/>
        <item x="88"/>
        <item x="138"/>
        <item x="217"/>
        <item x="23"/>
        <item x="188"/>
        <item x="159"/>
        <item x="83"/>
        <item x="178"/>
        <item x="57"/>
        <item x="102"/>
        <item x="155"/>
        <item x="77"/>
        <item x="14"/>
        <item x="30"/>
        <item x="53"/>
        <item x="158"/>
        <item x="210"/>
        <item x="128"/>
        <item x="45"/>
        <item x="69"/>
        <item x="194"/>
        <item x="164"/>
        <item x="107"/>
        <item x="186"/>
        <item x="2"/>
        <item x="219"/>
        <item x="177"/>
        <item x="231"/>
        <item x="58"/>
        <item x="48"/>
        <item x="37"/>
        <item x="156"/>
        <item x="189"/>
        <item x="114"/>
        <item x="123"/>
        <item x="27"/>
        <item x="230"/>
        <item x="112"/>
        <item x="71"/>
        <item x="132"/>
        <item x="163"/>
        <item x="129"/>
        <item x="105"/>
        <item x="225"/>
        <item x="221"/>
        <item x="59"/>
        <item x="65"/>
        <item x="17"/>
        <item x="141"/>
        <item x="4"/>
        <item x="44"/>
        <item x="13"/>
        <item x="204"/>
        <item x="108"/>
        <item x="10"/>
        <item x="67"/>
        <item x="130"/>
        <item x="206"/>
        <item x="38"/>
        <item x="101"/>
        <item x="199"/>
        <item t="default"/>
      </items>
    </pivotField>
    <pivotField showAll="0"/>
    <pivotField axis="axisRow" showAll="0">
      <items count="5">
        <item x="0"/>
        <item x="2"/>
        <item x="3"/>
        <item x="1"/>
        <item t="default"/>
      </items>
    </pivotField>
    <pivotField showAll="0">
      <items count="5">
        <item x="0"/>
        <item x="1"/>
        <item x="2"/>
        <item x="3"/>
        <item t="default"/>
      </items>
    </pivotField>
    <pivotField showAll="0"/>
    <pivotField showAll="0"/>
    <pivotField showAll="0"/>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5">
    <i>
      <x/>
    </i>
    <i>
      <x v="1"/>
    </i>
    <i>
      <x v="2"/>
    </i>
    <i>
      <x v="3"/>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BB116F3-1E85-4659-BBC4-F7E1B9ED2BB3}" name="PivotTable8"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N6:O11" firstHeaderRow="1" firstDataRow="1" firstDataCol="1"/>
  <pivotFields count="13">
    <pivotField showAll="0"/>
    <pivotField numFmtId="22" showAll="0">
      <items count="234">
        <item x="157"/>
        <item x="207"/>
        <item x="104"/>
        <item x="118"/>
        <item x="72"/>
        <item x="8"/>
        <item x="175"/>
        <item x="135"/>
        <item x="34"/>
        <item x="214"/>
        <item x="94"/>
        <item x="63"/>
        <item x="144"/>
        <item x="139"/>
        <item x="136"/>
        <item x="113"/>
        <item x="193"/>
        <item x="191"/>
        <item x="20"/>
        <item x="171"/>
        <item x="103"/>
        <item x="213"/>
        <item x="75"/>
        <item x="174"/>
        <item x="52"/>
        <item x="176"/>
        <item x="93"/>
        <item x="205"/>
        <item x="145"/>
        <item x="190"/>
        <item x="134"/>
        <item x="232"/>
        <item x="25"/>
        <item x="51"/>
        <item x="116"/>
        <item x="64"/>
        <item x="42"/>
        <item x="170"/>
        <item x="208"/>
        <item x="202"/>
        <item x="106"/>
        <item x="195"/>
        <item x="16"/>
        <item x="82"/>
        <item x="79"/>
        <item x="61"/>
        <item x="150"/>
        <item x="169"/>
        <item x="215"/>
        <item x="43"/>
        <item x="39"/>
        <item x="74"/>
        <item x="192"/>
        <item x="203"/>
        <item x="227"/>
        <item x="172"/>
        <item x="142"/>
        <item x="151"/>
        <item x="110"/>
        <item x="121"/>
        <item x="6"/>
        <item x="24"/>
        <item x="91"/>
        <item x="173"/>
        <item x="200"/>
        <item x="197"/>
        <item x="33"/>
        <item x="162"/>
        <item x="47"/>
        <item x="115"/>
        <item x="223"/>
        <item x="167"/>
        <item x="161"/>
        <item x="1"/>
        <item x="66"/>
        <item x="19"/>
        <item x="49"/>
        <item x="122"/>
        <item x="5"/>
        <item x="89"/>
        <item x="229"/>
        <item x="18"/>
        <item x="28"/>
        <item x="70"/>
        <item x="31"/>
        <item x="143"/>
        <item x="152"/>
        <item x="181"/>
        <item x="3"/>
        <item x="137"/>
        <item x="131"/>
        <item x="220"/>
        <item x="168"/>
        <item x="96"/>
        <item x="117"/>
        <item x="165"/>
        <item x="84"/>
        <item x="126"/>
        <item x="73"/>
        <item x="184"/>
        <item x="92"/>
        <item x="56"/>
        <item x="12"/>
        <item x="35"/>
        <item x="154"/>
        <item x="26"/>
        <item x="60"/>
        <item x="216"/>
        <item x="147"/>
        <item x="109"/>
        <item x="54"/>
        <item x="68"/>
        <item x="224"/>
        <item x="187"/>
        <item x="124"/>
        <item x="149"/>
        <item x="153"/>
        <item x="76"/>
        <item x="133"/>
        <item x="90"/>
        <item x="40"/>
        <item x="99"/>
        <item x="183"/>
        <item x="180"/>
        <item x="148"/>
        <item x="0"/>
        <item x="87"/>
        <item x="198"/>
        <item x="98"/>
        <item x="226"/>
        <item x="209"/>
        <item x="211"/>
        <item x="78"/>
        <item x="201"/>
        <item x="212"/>
        <item x="7"/>
        <item x="21"/>
        <item x="196"/>
        <item x="182"/>
        <item x="85"/>
        <item x="22"/>
        <item x="55"/>
        <item x="222"/>
        <item x="15"/>
        <item x="111"/>
        <item x="179"/>
        <item x="166"/>
        <item x="97"/>
        <item x="218"/>
        <item x="140"/>
        <item x="100"/>
        <item x="36"/>
        <item x="81"/>
        <item x="119"/>
        <item x="160"/>
        <item x="11"/>
        <item x="32"/>
        <item x="80"/>
        <item x="120"/>
        <item x="125"/>
        <item x="50"/>
        <item x="29"/>
        <item x="86"/>
        <item x="41"/>
        <item x="146"/>
        <item x="46"/>
        <item x="95"/>
        <item x="9"/>
        <item x="228"/>
        <item x="127"/>
        <item x="62"/>
        <item x="185"/>
        <item x="88"/>
        <item x="138"/>
        <item x="217"/>
        <item x="23"/>
        <item x="188"/>
        <item x="159"/>
        <item x="83"/>
        <item x="178"/>
        <item x="57"/>
        <item x="102"/>
        <item x="155"/>
        <item x="77"/>
        <item x="14"/>
        <item x="30"/>
        <item x="53"/>
        <item x="158"/>
        <item x="210"/>
        <item x="128"/>
        <item x="45"/>
        <item x="69"/>
        <item x="194"/>
        <item x="164"/>
        <item x="107"/>
        <item x="186"/>
        <item x="2"/>
        <item x="219"/>
        <item x="177"/>
        <item x="231"/>
        <item x="58"/>
        <item x="48"/>
        <item x="37"/>
        <item x="156"/>
        <item x="189"/>
        <item x="114"/>
        <item x="123"/>
        <item x="27"/>
        <item x="230"/>
        <item x="112"/>
        <item x="71"/>
        <item x="132"/>
        <item x="163"/>
        <item x="129"/>
        <item x="105"/>
        <item x="225"/>
        <item x="221"/>
        <item x="59"/>
        <item x="65"/>
        <item x="17"/>
        <item x="141"/>
        <item x="4"/>
        <item x="44"/>
        <item x="13"/>
        <item x="204"/>
        <item x="108"/>
        <item x="10"/>
        <item x="67"/>
        <item x="130"/>
        <item x="206"/>
        <item x="38"/>
        <item x="101"/>
        <item x="199"/>
        <item t="default"/>
      </items>
    </pivotField>
    <pivotField showAll="0"/>
    <pivotField showAll="0">
      <items count="5">
        <item x="0"/>
        <item x="2"/>
        <item x="3"/>
        <item x="1"/>
        <item t="default"/>
      </items>
    </pivotField>
    <pivotField axis="axisRow" showAll="0">
      <items count="5">
        <item x="0"/>
        <item x="1"/>
        <item x="2"/>
        <item x="3"/>
        <item t="default"/>
      </items>
    </pivotField>
    <pivotField showAll="0"/>
    <pivotField showAll="0"/>
    <pivotField showAll="0"/>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5">
    <i>
      <x/>
    </i>
    <i>
      <x v="1"/>
    </i>
    <i>
      <x v="2"/>
    </i>
    <i>
      <x v="3"/>
    </i>
    <i t="grand">
      <x/>
    </i>
  </rowItems>
  <colItems count="1">
    <i/>
  </colItems>
  <dataFields count="1">
    <dataField name="Sum of Sales" fld="8" baseField="0" baseItem="0"/>
  </dataFields>
  <chartFormats count="6">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4" count="1" selected="0">
            <x v="0"/>
          </reference>
        </references>
      </pivotArea>
    </chartFormat>
    <chartFormat chart="3" format="8">
      <pivotArea type="data" outline="0" fieldPosition="0">
        <references count="2">
          <reference field="4294967294" count="1" selected="0">
            <x v="0"/>
          </reference>
          <reference field="4" count="1" selected="0">
            <x v="1"/>
          </reference>
        </references>
      </pivotArea>
    </chartFormat>
    <chartFormat chart="3" format="9">
      <pivotArea type="data" outline="0" fieldPosition="0">
        <references count="2">
          <reference field="4294967294" count="1" selected="0">
            <x v="0"/>
          </reference>
          <reference field="4" count="1" selected="0">
            <x v="2"/>
          </reference>
        </references>
      </pivotArea>
    </chartFormat>
    <chartFormat chart="3"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2A827E8-6F16-45F8-BD02-93F919B6D31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1">
    <pivotField showAll="0"/>
    <pivotField numFmtId="14" showAll="0"/>
    <pivotField showAll="0"/>
    <pivotField axis="axisRow" showAll="0">
      <items count="5">
        <item x="0"/>
        <item x="2"/>
        <item x="3"/>
        <item x="1"/>
        <item t="default"/>
      </items>
    </pivotField>
    <pivotField showAll="0"/>
    <pivotField showAll="0"/>
    <pivotField showAll="0"/>
    <pivotField showAll="0"/>
    <pivotField dataField="1" showAll="0"/>
    <pivotField showAll="0"/>
    <pivotField showAll="0"/>
  </pivotFields>
  <rowFields count="1">
    <field x="3"/>
  </rowFields>
  <rowItems count="5">
    <i>
      <x/>
    </i>
    <i>
      <x v="1"/>
    </i>
    <i>
      <x v="2"/>
    </i>
    <i>
      <x v="3"/>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EBE8AA6-51FE-44D0-82AC-A7204260239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1">
    <pivotField showAll="0"/>
    <pivotField numFmtId="14" showAll="0"/>
    <pivotField showAll="0"/>
    <pivotField showAll="0"/>
    <pivotField showAll="0"/>
    <pivotField axis="axisRow" showAll="0" measureFilter="1" sortType="ascending">
      <items count="21">
        <item x="6"/>
        <item x="12"/>
        <item x="8"/>
        <item x="15"/>
        <item x="3"/>
        <item x="9"/>
        <item x="16"/>
        <item x="17"/>
        <item x="10"/>
        <item x="19"/>
        <item x="14"/>
        <item x="0"/>
        <item x="5"/>
        <item x="7"/>
        <item x="18"/>
        <item x="13"/>
        <item x="4"/>
        <item x="11"/>
        <item x="2"/>
        <item x="1"/>
        <item t="default"/>
      </items>
    </pivotField>
    <pivotField showAll="0"/>
    <pivotField showAll="0"/>
    <pivotField dataField="1" showAll="0">
      <items count="399">
        <item x="330"/>
        <item x="107"/>
        <item x="315"/>
        <item x="151"/>
        <item x="299"/>
        <item x="322"/>
        <item x="40"/>
        <item x="278"/>
        <item x="175"/>
        <item x="234"/>
        <item x="293"/>
        <item x="67"/>
        <item x="140"/>
        <item x="308"/>
        <item x="181"/>
        <item x="364"/>
        <item x="211"/>
        <item x="183"/>
        <item x="206"/>
        <item x="53"/>
        <item x="139"/>
        <item x="289"/>
        <item x="57"/>
        <item x="194"/>
        <item x="78"/>
        <item x="382"/>
        <item x="366"/>
        <item x="306"/>
        <item x="157"/>
        <item x="360"/>
        <item x="66"/>
        <item x="283"/>
        <item x="258"/>
        <item x="176"/>
        <item x="71"/>
        <item x="345"/>
        <item x="304"/>
        <item x="295"/>
        <item x="81"/>
        <item x="155"/>
        <item x="353"/>
        <item x="276"/>
        <item x="15"/>
        <item x="36"/>
        <item x="171"/>
        <item x="43"/>
        <item x="20"/>
        <item x="270"/>
        <item x="37"/>
        <item x="261"/>
        <item x="255"/>
        <item x="154"/>
        <item x="179"/>
        <item x="186"/>
        <item x="348"/>
        <item x="172"/>
        <item x="199"/>
        <item x="193"/>
        <item x="165"/>
        <item x="5"/>
        <item x="41"/>
        <item x="262"/>
        <item x="342"/>
        <item x="191"/>
        <item x="178"/>
        <item x="119"/>
        <item x="63"/>
        <item x="13"/>
        <item x="356"/>
        <item x="116"/>
        <item x="94"/>
        <item x="252"/>
        <item x="303"/>
        <item x="325"/>
        <item x="296"/>
        <item x="189"/>
        <item x="49"/>
        <item x="6"/>
        <item x="35"/>
        <item x="248"/>
        <item x="153"/>
        <item x="150"/>
        <item x="277"/>
        <item x="18"/>
        <item x="265"/>
        <item x="249"/>
        <item x="4"/>
        <item x="329"/>
        <item x="243"/>
        <item x="316"/>
        <item x="326"/>
        <item x="7"/>
        <item x="393"/>
        <item x="376"/>
        <item x="363"/>
        <item x="351"/>
        <item x="34"/>
        <item x="60"/>
        <item x="232"/>
        <item x="104"/>
        <item x="76"/>
        <item x="370"/>
        <item x="112"/>
        <item x="0"/>
        <item x="339"/>
        <item x="321"/>
        <item x="26"/>
        <item x="324"/>
        <item x="292"/>
        <item x="291"/>
        <item x="38"/>
        <item x="160"/>
        <item x="397"/>
        <item x="244"/>
        <item x="96"/>
        <item x="226"/>
        <item x="167"/>
        <item x="237"/>
        <item x="235"/>
        <item x="344"/>
        <item x="131"/>
        <item x="320"/>
        <item x="192"/>
        <item x="8"/>
        <item x="158"/>
        <item x="208"/>
        <item x="331"/>
        <item x="68"/>
        <item x="380"/>
        <item x="228"/>
        <item x="39"/>
        <item x="205"/>
        <item x="318"/>
        <item x="260"/>
        <item x="100"/>
        <item x="253"/>
        <item x="392"/>
        <item x="309"/>
        <item x="102"/>
        <item x="69"/>
        <item x="182"/>
        <item x="221"/>
        <item x="384"/>
        <item x="354"/>
        <item x="50"/>
        <item x="115"/>
        <item x="188"/>
        <item x="54"/>
        <item x="1"/>
        <item x="337"/>
        <item x="87"/>
        <item x="333"/>
        <item x="99"/>
        <item x="233"/>
        <item x="196"/>
        <item x="82"/>
        <item x="180"/>
        <item x="213"/>
        <item x="282"/>
        <item x="174"/>
        <item x="47"/>
        <item x="111"/>
        <item x="335"/>
        <item x="98"/>
        <item x="264"/>
        <item x="256"/>
        <item x="146"/>
        <item x="210"/>
        <item x="374"/>
        <item x="23"/>
        <item x="124"/>
        <item x="350"/>
        <item x="133"/>
        <item x="246"/>
        <item x="341"/>
        <item x="195"/>
        <item x="136"/>
        <item x="273"/>
        <item x="387"/>
        <item x="12"/>
        <item x="236"/>
        <item x="375"/>
        <item x="368"/>
        <item x="240"/>
        <item x="92"/>
        <item x="132"/>
        <item x="223"/>
        <item x="55"/>
        <item x="305"/>
        <item x="231"/>
        <item x="268"/>
        <item x="332"/>
        <item x="338"/>
        <item x="285"/>
        <item x="372"/>
        <item x="89"/>
        <item x="141"/>
        <item x="209"/>
        <item x="385"/>
        <item x="272"/>
        <item x="29"/>
        <item x="101"/>
        <item x="130"/>
        <item x="300"/>
        <item x="164"/>
        <item x="298"/>
        <item x="22"/>
        <item x="327"/>
        <item x="51"/>
        <item x="138"/>
        <item x="105"/>
        <item x="214"/>
        <item x="83"/>
        <item x="168"/>
        <item x="62"/>
        <item x="358"/>
        <item x="389"/>
        <item x="230"/>
        <item x="84"/>
        <item x="378"/>
        <item x="2"/>
        <item x="74"/>
        <item x="86"/>
        <item x="120"/>
        <item x="319"/>
        <item x="72"/>
        <item x="52"/>
        <item x="90"/>
        <item x="21"/>
        <item x="279"/>
        <item x="245"/>
        <item x="202"/>
        <item x="93"/>
        <item x="369"/>
        <item x="336"/>
        <item x="229"/>
        <item x="238"/>
        <item x="173"/>
        <item x="148"/>
        <item x="190"/>
        <item x="267"/>
        <item x="379"/>
        <item x="44"/>
        <item x="169"/>
        <item x="313"/>
        <item x="218"/>
        <item x="122"/>
        <item x="257"/>
        <item x="307"/>
        <item x="386"/>
        <item x="394"/>
        <item x="239"/>
        <item x="73"/>
        <item x="373"/>
        <item x="14"/>
        <item x="367"/>
        <item x="170"/>
        <item x="314"/>
        <item x="24"/>
        <item x="225"/>
        <item x="203"/>
        <item x="152"/>
        <item x="271"/>
        <item x="125"/>
        <item x="311"/>
        <item x="185"/>
        <item x="25"/>
        <item x="128"/>
        <item x="64"/>
        <item x="340"/>
        <item x="184"/>
        <item x="177"/>
        <item x="58"/>
        <item x="61"/>
        <item x="56"/>
        <item x="274"/>
        <item x="241"/>
        <item x="32"/>
        <item x="217"/>
        <item x="10"/>
        <item x="212"/>
        <item x="46"/>
        <item x="317"/>
        <item x="114"/>
        <item x="70"/>
        <item x="297"/>
        <item x="310"/>
        <item x="80"/>
        <item x="109"/>
        <item x="123"/>
        <item x="259"/>
        <item x="302"/>
        <item x="242"/>
        <item x="45"/>
        <item x="381"/>
        <item x="343"/>
        <item x="117"/>
        <item x="219"/>
        <item x="263"/>
        <item x="77"/>
        <item x="137"/>
        <item x="395"/>
        <item x="357"/>
        <item x="287"/>
        <item x="301"/>
        <item x="110"/>
        <item x="352"/>
        <item x="85"/>
        <item x="377"/>
        <item x="161"/>
        <item x="312"/>
        <item x="159"/>
        <item x="149"/>
        <item x="129"/>
        <item x="118"/>
        <item x="281"/>
        <item x="220"/>
        <item x="79"/>
        <item x="3"/>
        <item x="126"/>
        <item x="30"/>
        <item x="9"/>
        <item x="91"/>
        <item x="121"/>
        <item x="156"/>
        <item x="247"/>
        <item x="127"/>
        <item x="143"/>
        <item x="75"/>
        <item x="323"/>
        <item x="284"/>
        <item x="286"/>
        <item x="266"/>
        <item x="254"/>
        <item x="355"/>
        <item x="113"/>
        <item x="250"/>
        <item x="204"/>
        <item x="147"/>
        <item x="383"/>
        <item x="294"/>
        <item x="198"/>
        <item x="166"/>
        <item x="290"/>
        <item x="215"/>
        <item x="288"/>
        <item x="201"/>
        <item x="135"/>
        <item x="347"/>
        <item x="391"/>
        <item x="145"/>
        <item x="17"/>
        <item x="65"/>
        <item x="142"/>
        <item x="269"/>
        <item x="162"/>
        <item x="106"/>
        <item x="359"/>
        <item x="365"/>
        <item x="108"/>
        <item x="227"/>
        <item x="328"/>
        <item x="197"/>
        <item x="33"/>
        <item x="163"/>
        <item x="216"/>
        <item x="48"/>
        <item x="334"/>
        <item x="222"/>
        <item x="224"/>
        <item x="11"/>
        <item x="88"/>
        <item x="59"/>
        <item x="31"/>
        <item x="207"/>
        <item x="27"/>
        <item x="42"/>
        <item x="144"/>
        <item x="396"/>
        <item x="390"/>
        <item x="103"/>
        <item x="97"/>
        <item x="388"/>
        <item x="346"/>
        <item x="251"/>
        <item x="16"/>
        <item x="361"/>
        <item x="280"/>
        <item x="349"/>
        <item x="187"/>
        <item x="95"/>
        <item x="28"/>
        <item x="134"/>
        <item x="362"/>
        <item x="371"/>
        <item x="200"/>
        <item x="275"/>
        <item x="19"/>
        <item t="default"/>
      </items>
    </pivotField>
    <pivotField showAll="0"/>
    <pivotField showAll="0"/>
  </pivotFields>
  <rowFields count="1">
    <field x="5"/>
  </rowFields>
  <rowItems count="6">
    <i>
      <x/>
    </i>
    <i>
      <x v="2"/>
    </i>
    <i>
      <x v="10"/>
    </i>
    <i>
      <x v="15"/>
    </i>
    <i>
      <x v="18"/>
    </i>
    <i t="grand">
      <x/>
    </i>
  </rowItems>
  <colItems count="1">
    <i/>
  </colItems>
  <dataFields count="1">
    <dataField name="Sum of Sales" fld="8" baseField="5" baseItem="0"/>
  </dataFields>
  <pivotTableStyleInfo name="PivotStyleLight16" showRowHeaders="1" showColHeaders="1" showRowStripes="0" showColStripes="0" showLastColumn="1"/>
  <filters count="1">
    <filter fld="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7681C6A-01A8-4775-B0A8-621BA61F5C26}" autoFormatId="16" applyNumberFormats="0" applyBorderFormats="0" applyFontFormats="0" applyPatternFormats="0" applyAlignmentFormats="0" applyWidthHeightFormats="0">
  <queryTableRefresh nextId="14" unboundColumnsRight="2">
    <queryTableFields count="11">
      <queryTableField id="1" name="Order_ID" tableColumnId="1"/>
      <queryTableField id="2" name="Order_Date" tableColumnId="2"/>
      <queryTableField id="3" name="Customer_ID" tableColumnId="3"/>
      <queryTableField id="4" name="Region" tableColumnId="4"/>
      <queryTableField id="5" name="Product_Category" tableColumnId="5"/>
      <queryTableField id="6" name="Product_Name" tableColumnId="6"/>
      <queryTableField id="7" name="Quantity" tableColumnId="7"/>
      <queryTableField id="8" name="Unit_Price" tableColumnId="8"/>
      <queryTableField id="9" name="Sales" tableColumnId="9"/>
      <queryTableField id="11" dataBound="0" tableColumnId="11"/>
      <queryTableField id="12" dataBound="0" tableColumnId="12"/>
    </queryTableFields>
    <queryTableDeletedFields count="1">
      <deletedField name="Profit"/>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AF9BAB5-1B18-4F5C-BD32-EAD9592BC8C5}" sourceName="Region">
  <pivotTables>
    <pivotTable tabId="2" name="PivotTable8"/>
    <pivotTable tabId="11" name="PivotTable7"/>
    <pivotTable tabId="5" name="PivotTable3"/>
    <pivotTable tabId="7" name="PivotTable4"/>
    <pivotTable tabId="8" name="PivotTable5"/>
    <pivotTable tabId="9" name="PivotTable6"/>
    <pivotTable tabId="13" name="PivotTable9"/>
  </pivotTables>
  <data>
    <tabular pivotCacheId="2100980700">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6DC793C2-32FF-4677-A29A-3A4EE6115462}" sourceName="Product_Category">
  <pivotTables>
    <pivotTable tabId="2" name="PivotTable8"/>
    <pivotTable tabId="11" name="PivotTable7"/>
    <pivotTable tabId="5" name="PivotTable3"/>
    <pivotTable tabId="7" name="PivotTable4"/>
    <pivotTable tabId="8" name="PivotTable5"/>
    <pivotTable tabId="9" name="PivotTable6"/>
    <pivotTable tabId="13" name="PivotTable9"/>
  </pivotTables>
  <data>
    <tabular pivotCacheId="2100980700">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8E98BD03-923B-4630-A762-BC19F89ECFE8}" sourceName="Months (Order_Date)">
  <pivotTables>
    <pivotTable tabId="2" name="PivotTable8"/>
    <pivotTable tabId="11" name="PivotTable7"/>
    <pivotTable tabId="5" name="PivotTable3"/>
    <pivotTable tabId="7" name="PivotTable4"/>
    <pivotTable tabId="8" name="PivotTable5"/>
    <pivotTable tabId="9" name="PivotTable6"/>
    <pivotTable tabId="13" name="PivotTable9"/>
  </pivotTables>
  <data>
    <tabular pivotCacheId="2100980700">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161C444-D6AC-4967-83DD-67728255362E}" cache="Slicer_Region" caption="Region" rowHeight="241300"/>
  <slicer name="Product_Category" xr10:uid="{AB0754AE-A7D4-4F28-B0D3-9B444FADA8E0}" cache="Slicer_Product_Category" caption="Product_Category" rowHeight="241300"/>
  <slicer name="Months (Order_Date)" xr10:uid="{A81E6A9D-3ED1-4C00-9E89-48331F479CE2}" cache="Slicer_Months__Order_Date" caption="Months (Order_Dat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2A238CD-56D4-4CD7-AE36-6DE5858A449A}" name="Table1_1" displayName="Table1_1" ref="A1:K401" tableType="queryTable" totalsRowShown="0">
  <autoFilter ref="A1:K401" xr:uid="{42A238CD-56D4-4CD7-AE36-6DE5858A449A}"/>
  <tableColumns count="11">
    <tableColumn id="1" xr3:uid="{F35ECE61-3DE7-4F03-9A1B-50D96E6F5E1E}" uniqueName="1" name="Order_ID" queryTableFieldId="1" dataDxfId="125"/>
    <tableColumn id="2" xr3:uid="{BA2F5895-D574-4120-B3D7-C0F8C8A748AD}" uniqueName="2" name="Order_Date" queryTableFieldId="2" dataDxfId="124"/>
    <tableColumn id="3" xr3:uid="{537434B8-CBAF-4AF5-816B-F3C75984DAB7}" uniqueName="3" name="Customer_ID" queryTableFieldId="3" dataDxfId="123"/>
    <tableColumn id="4" xr3:uid="{75D84701-8AAB-49C0-AB14-C02281D33485}" uniqueName="4" name="Region" queryTableFieldId="4" dataDxfId="122"/>
    <tableColumn id="5" xr3:uid="{78D97FF9-3904-4DD0-9B67-9D6E9280C37E}" uniqueName="5" name="Product_Category" queryTableFieldId="5" dataDxfId="121"/>
    <tableColumn id="6" xr3:uid="{9D4E29F5-9D1B-4BA8-8424-96AD648CF088}" uniqueName="6" name="Product_Name" queryTableFieldId="6" dataDxfId="120"/>
    <tableColumn id="7" xr3:uid="{E75F15D0-2CCA-4666-8FC7-CF79A461ED65}" uniqueName="7" name="Quantity" queryTableFieldId="7"/>
    <tableColumn id="8" xr3:uid="{1836FA5E-B378-4281-93F7-10BFCBE607A9}" uniqueName="8" name="Unit_Price" queryTableFieldId="8"/>
    <tableColumn id="9" xr3:uid="{00136BCE-2719-4AC1-A5B3-AF5B31926E18}" uniqueName="9" name="Sales" queryTableFieldId="9"/>
    <tableColumn id="11" xr3:uid="{244CA380-ED47-4AEB-9589-054EFC483B4C}" uniqueName="11" name="Profit2" queryTableFieldId="11" dataDxfId="119"/>
    <tableColumn id="12" xr3:uid="{316A9F27-8A84-4748-AD89-11B33C12772C}" uniqueName="12" name="profit_margin" queryTableFieldId="12" dataDxfId="118">
      <calculatedColumnFormula>Table1_1[[#This Row],[Sales]]/Table1_1[[#This Row],[Profit2]]*100</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99A614-CA06-4E1E-87D2-57AAB235D8D5}" name="Table1" displayName="Table1" ref="A1:L401" totalsRowShown="0" headerRowDxfId="117" headerRowBorderDxfId="116" tableBorderDxfId="115">
  <autoFilter ref="A1:L401" xr:uid="{0399A614-CA06-4E1E-87D2-57AAB235D8D5}"/>
  <tableColumns count="12">
    <tableColumn id="1" xr3:uid="{1AB98CEB-BC73-4161-8440-5EAECBF56FE3}" name="Order_ID"/>
    <tableColumn id="2" xr3:uid="{47489595-DD9D-4328-A1A0-AB79FE128BDE}" name="Order_Date" dataDxfId="114"/>
    <tableColumn id="3" xr3:uid="{1BD1CD68-1E10-4ED7-A493-E5EE73AF1B73}" name="Customer_ID"/>
    <tableColumn id="4" xr3:uid="{43F6CBE2-C7AA-4A76-9AD3-0135224E868A}" name="Region"/>
    <tableColumn id="5" xr3:uid="{92E863E6-CAA8-499B-ADD9-EBA6C7DAB619}" name="Product_Category"/>
    <tableColumn id="6" xr3:uid="{2B77E074-68B1-4029-AEF2-1AC45CFC51DB}" name="Product_Name"/>
    <tableColumn id="7" xr3:uid="{7D7046CB-A7A5-44AA-AF9E-4B97EAF43C9D}" name="Quantity"/>
    <tableColumn id="8" xr3:uid="{D30F5EAB-4FDF-4E40-A03C-2A69FF7E2842}" name="Unit_Price"/>
    <tableColumn id="9" xr3:uid="{BFEA5CF4-24DF-427D-B5C7-21ACCCC3BEB3}" name="Sales"/>
    <tableColumn id="10" xr3:uid="{AC2BC497-7EB6-4C76-A28D-B4652C728D44}" name="Profit">
      <calculatedColumnFormula>IF(ISBLANK(I2),$J$2:$J$401,I2)</calculatedColumnFormula>
    </tableColumn>
    <tableColumn id="11" xr3:uid="{566227F5-9969-4382-888E-41FC6B3E8ADA}" name="Sales_check" dataDxfId="113">
      <calculatedColumnFormula>IF(Table1[[#This Row],[Quantity]]*Table1[[#This Row],[Unit_Price]]=Table1[[#This Row],[Sales]],"Match","Mismatch")</calculatedColumnFormula>
    </tableColumn>
    <tableColumn id="12" xr3:uid="{F104B0F7-65FA-4BA2-99C3-73DEB6E0DF40}" name="Profit_margin%" dataDxfId="112">
      <calculatedColumnFormula>Table1[[#This Row],[Profit]]/Table1[[#This Row],[Sales]]*100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EEE22A2B-7E88-47A3-8EEE-455A4B739669}" sourceName="Order_Date">
  <pivotTables>
    <pivotTable tabId="5" name="PivotTable3"/>
    <pivotTable tabId="11" name="PivotTable7"/>
    <pivotTable tabId="7" name="PivotTable4"/>
    <pivotTable tabId="8" name="PivotTable5"/>
    <pivotTable tabId="9" name="PivotTable6"/>
    <pivotTable tabId="2" name="PivotTable8"/>
    <pivotTable tabId="13" name="PivotTable9"/>
  </pivotTables>
  <state minimalRefreshVersion="6" lastRefreshVersion="6" pivotCacheId="2100980700"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9601B5B8-FCA0-4228-AE7D-1CBF9A2260DC}" cache="NativeTimeline_Order_Date" caption="Order_Date" level="2" selectionLevel="2" scrollPosition="2024-01-01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5.xml"/><Relationship Id="rId4" Type="http://schemas.microsoft.com/office/2011/relationships/timeline" Target="../timelines/timelin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35DD0-13BD-4421-9BDD-1EA12A9EEE69}">
  <dimension ref="A3:B16"/>
  <sheetViews>
    <sheetView workbookViewId="0">
      <selection activeCell="B6" sqref="B6"/>
    </sheetView>
  </sheetViews>
  <sheetFormatPr defaultRowHeight="15" x14ac:dyDescent="0.25"/>
  <cols>
    <col min="1" max="1" width="13.140625" bestFit="1" customWidth="1"/>
    <col min="2" max="2" width="12.140625" bestFit="1" customWidth="1"/>
  </cols>
  <sheetData>
    <row r="3" spans="1:2" x14ac:dyDescent="0.25">
      <c r="A3" s="5" t="s">
        <v>579</v>
      </c>
      <c r="B3" t="s">
        <v>581</v>
      </c>
    </row>
    <row r="4" spans="1:2" x14ac:dyDescent="0.25">
      <c r="A4" s="6" t="s">
        <v>582</v>
      </c>
      <c r="B4" s="8">
        <v>500569</v>
      </c>
    </row>
    <row r="5" spans="1:2" x14ac:dyDescent="0.25">
      <c r="A5" s="6" t="s">
        <v>583</v>
      </c>
      <c r="B5" s="8">
        <v>374571</v>
      </c>
    </row>
    <row r="6" spans="1:2" x14ac:dyDescent="0.25">
      <c r="A6" s="6" t="s">
        <v>584</v>
      </c>
      <c r="B6" s="8">
        <v>424943</v>
      </c>
    </row>
    <row r="7" spans="1:2" x14ac:dyDescent="0.25">
      <c r="A7" s="6" t="s">
        <v>585</v>
      </c>
      <c r="B7" s="8">
        <v>448225</v>
      </c>
    </row>
    <row r="8" spans="1:2" x14ac:dyDescent="0.25">
      <c r="A8" s="6" t="s">
        <v>586</v>
      </c>
      <c r="B8" s="8">
        <v>541441</v>
      </c>
    </row>
    <row r="9" spans="1:2" x14ac:dyDescent="0.25">
      <c r="A9" s="6" t="s">
        <v>587</v>
      </c>
      <c r="B9" s="8">
        <v>486909</v>
      </c>
    </row>
    <row r="10" spans="1:2" x14ac:dyDescent="0.25">
      <c r="A10" s="6" t="s">
        <v>588</v>
      </c>
      <c r="B10" s="8">
        <v>288011</v>
      </c>
    </row>
    <row r="11" spans="1:2" x14ac:dyDescent="0.25">
      <c r="A11" s="6" t="s">
        <v>589</v>
      </c>
      <c r="B11" s="8">
        <v>465484</v>
      </c>
    </row>
    <row r="12" spans="1:2" x14ac:dyDescent="0.25">
      <c r="A12" s="6" t="s">
        <v>590</v>
      </c>
      <c r="B12" s="8">
        <v>362840</v>
      </c>
    </row>
    <row r="13" spans="1:2" x14ac:dyDescent="0.25">
      <c r="A13" s="6" t="s">
        <v>591</v>
      </c>
      <c r="B13" s="8">
        <v>514648</v>
      </c>
    </row>
    <row r="14" spans="1:2" x14ac:dyDescent="0.25">
      <c r="A14" s="6" t="s">
        <v>592</v>
      </c>
      <c r="B14" s="8">
        <v>349519</v>
      </c>
    </row>
    <row r="15" spans="1:2" x14ac:dyDescent="0.25">
      <c r="A15" s="6" t="s">
        <v>593</v>
      </c>
      <c r="B15" s="8">
        <v>235523</v>
      </c>
    </row>
    <row r="16" spans="1:2" x14ac:dyDescent="0.25">
      <c r="A16" s="6" t="s">
        <v>580</v>
      </c>
      <c r="B16" s="8">
        <v>4992683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74ED7-8937-4925-9765-C6C03CB14337}">
  <dimension ref="A3:A8"/>
  <sheetViews>
    <sheetView workbookViewId="0">
      <selection activeCell="A3" sqref="A3"/>
    </sheetView>
  </sheetViews>
  <sheetFormatPr defaultRowHeight="15" x14ac:dyDescent="0.25"/>
  <cols>
    <col min="1" max="1" width="13.140625" bestFit="1" customWidth="1"/>
    <col min="2" max="2" width="12.5703125" bestFit="1" customWidth="1"/>
  </cols>
  <sheetData>
    <row r="3" spans="1:1" x14ac:dyDescent="0.25">
      <c r="A3" s="5" t="s">
        <v>579</v>
      </c>
    </row>
    <row r="4" spans="1:1" x14ac:dyDescent="0.25">
      <c r="A4" s="6" t="s">
        <v>553</v>
      </c>
    </row>
    <row r="5" spans="1:1" x14ac:dyDescent="0.25">
      <c r="A5" s="6" t="s">
        <v>554</v>
      </c>
    </row>
    <row r="6" spans="1:1" x14ac:dyDescent="0.25">
      <c r="A6" s="6" t="s">
        <v>555</v>
      </c>
    </row>
    <row r="7" spans="1:1" x14ac:dyDescent="0.25">
      <c r="A7" s="6" t="s">
        <v>556</v>
      </c>
    </row>
    <row r="8" spans="1:1" x14ac:dyDescent="0.25">
      <c r="A8" s="6" t="s">
        <v>580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84FF8-AA97-4E56-A4F3-40EC56694F27}">
  <dimension ref="A3:B8"/>
  <sheetViews>
    <sheetView workbookViewId="0">
      <selection activeCell="F7" sqref="F7"/>
    </sheetView>
  </sheetViews>
  <sheetFormatPr defaultRowHeight="15" x14ac:dyDescent="0.25"/>
  <cols>
    <col min="1" max="1" width="13.140625" bestFit="1" customWidth="1"/>
    <col min="2" max="2" width="23.5703125" bestFit="1" customWidth="1"/>
  </cols>
  <sheetData>
    <row r="3" spans="1:2" x14ac:dyDescent="0.25">
      <c r="A3" s="5" t="s">
        <v>579</v>
      </c>
      <c r="B3" t="s">
        <v>597</v>
      </c>
    </row>
    <row r="4" spans="1:2" x14ac:dyDescent="0.25">
      <c r="A4" s="6" t="s">
        <v>553</v>
      </c>
      <c r="B4" s="8">
        <v>464.00209015993005</v>
      </c>
    </row>
    <row r="5" spans="1:2" x14ac:dyDescent="0.25">
      <c r="A5" s="6" t="s">
        <v>554</v>
      </c>
      <c r="B5" s="8">
        <v>491.51168810021574</v>
      </c>
    </row>
    <row r="6" spans="1:2" x14ac:dyDescent="0.25">
      <c r="A6" s="6" t="s">
        <v>555</v>
      </c>
      <c r="B6" s="8">
        <v>461.30674649072</v>
      </c>
    </row>
    <row r="7" spans="1:2" x14ac:dyDescent="0.25">
      <c r="A7" s="6" t="s">
        <v>556</v>
      </c>
      <c r="B7" s="8">
        <v>461.44768355877568</v>
      </c>
    </row>
    <row r="8" spans="1:2" x14ac:dyDescent="0.25">
      <c r="A8" s="6" t="s">
        <v>580</v>
      </c>
      <c r="B8" s="8">
        <v>468.36455471175327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8E061-1A3E-414D-8795-2EA88045E73B}">
  <dimension ref="A3:E8"/>
  <sheetViews>
    <sheetView workbookViewId="0">
      <selection activeCell="E9" sqref="E9"/>
    </sheetView>
  </sheetViews>
  <sheetFormatPr defaultRowHeight="15" x14ac:dyDescent="0.25"/>
  <cols>
    <col min="1" max="1" width="13.140625" bestFit="1" customWidth="1"/>
    <col min="2" max="2" width="13.7109375" bestFit="1" customWidth="1"/>
  </cols>
  <sheetData>
    <row r="3" spans="1:5" x14ac:dyDescent="0.25">
      <c r="A3" s="5" t="s">
        <v>579</v>
      </c>
      <c r="B3" t="s">
        <v>598</v>
      </c>
    </row>
    <row r="4" spans="1:5" x14ac:dyDescent="0.25">
      <c r="A4" s="6" t="s">
        <v>549</v>
      </c>
      <c r="B4" s="8">
        <v>269543.98999999993</v>
      </c>
    </row>
    <row r="5" spans="1:5" x14ac:dyDescent="0.25">
      <c r="A5" s="6" t="s">
        <v>551</v>
      </c>
      <c r="B5" s="8">
        <v>271406.03999999998</v>
      </c>
    </row>
    <row r="6" spans="1:5" x14ac:dyDescent="0.25">
      <c r="A6" s="6" t="s">
        <v>552</v>
      </c>
      <c r="B6" s="8">
        <v>286775.11999999994</v>
      </c>
    </row>
    <row r="7" spans="1:5" x14ac:dyDescent="0.25">
      <c r="A7" s="6" t="s">
        <v>550</v>
      </c>
      <c r="B7" s="8">
        <v>397705.08</v>
      </c>
    </row>
    <row r="8" spans="1:5" x14ac:dyDescent="0.25">
      <c r="A8" s="6" t="s">
        <v>580</v>
      </c>
      <c r="B8" s="8">
        <v>1225430.23</v>
      </c>
      <c r="E8">
        <f>GETPIVOTDATA("Profit2",Sheet8!$A$3)</f>
        <v>1225430.23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64EE7-91E9-43EE-894B-09E7F99DB7AD}">
  <dimension ref="A3:H24"/>
  <sheetViews>
    <sheetView tabSelected="1" workbookViewId="0">
      <selection activeCell="T1" sqref="T1:T1048576"/>
    </sheetView>
  </sheetViews>
  <sheetFormatPr defaultRowHeight="15" x14ac:dyDescent="0.25"/>
  <cols>
    <col min="1" max="1" width="13.140625" style="9" bestFit="1" customWidth="1"/>
    <col min="2" max="2" width="12.140625" style="9" bestFit="1" customWidth="1"/>
    <col min="3" max="16384" width="9.140625" style="9"/>
  </cols>
  <sheetData>
    <row r="3" spans="1:2" x14ac:dyDescent="0.25">
      <c r="A3" s="9" t="s">
        <v>579</v>
      </c>
      <c r="B3" s="9" t="s">
        <v>581</v>
      </c>
    </row>
    <row r="4" spans="1:2" x14ac:dyDescent="0.25">
      <c r="A4" s="10" t="s">
        <v>549</v>
      </c>
      <c r="B4" s="11">
        <v>1154477</v>
      </c>
    </row>
    <row r="5" spans="1:2" x14ac:dyDescent="0.25">
      <c r="A5" s="10" t="s">
        <v>551</v>
      </c>
      <c r="B5" s="11">
        <v>1072163</v>
      </c>
    </row>
    <row r="6" spans="1:2" x14ac:dyDescent="0.25">
      <c r="A6" s="10" t="s">
        <v>552</v>
      </c>
      <c r="B6" s="11">
        <v>1103292</v>
      </c>
    </row>
    <row r="7" spans="1:2" x14ac:dyDescent="0.25">
      <c r="A7" s="10" t="s">
        <v>550</v>
      </c>
      <c r="B7" s="11">
        <v>1662751</v>
      </c>
    </row>
    <row r="8" spans="1:2" x14ac:dyDescent="0.25">
      <c r="A8" s="10" t="s">
        <v>580</v>
      </c>
      <c r="B8" s="11">
        <v>4992683</v>
      </c>
    </row>
    <row r="14" spans="1:2" x14ac:dyDescent="0.25">
      <c r="A14" s="12">
        <f>SUM(Table1_1[Sales])</f>
        <v>4992683</v>
      </c>
    </row>
    <row r="22" spans="3:8" x14ac:dyDescent="0.25">
      <c r="E22" s="9" t="b">
        <f>KPIs!F5=GETPIVOTDATA("Sales",KPIs!$A$3)</f>
        <v>0</v>
      </c>
    </row>
    <row r="24" spans="3:8" x14ac:dyDescent="0.25">
      <c r="C24" s="9" t="s">
        <v>599</v>
      </c>
      <c r="H24" s="9">
        <f>GETPIVOTDATA("Profit2",Sheet8!$A$3)</f>
        <v>1225430.23</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10785-5877-422A-9F23-3865BF12F80C}">
  <dimension ref="A1"/>
  <sheetViews>
    <sheetView workbookViewId="0">
      <selection activeCell="C3" sqref="C3"/>
    </sheetView>
  </sheetViews>
  <sheetFormatPr defaultRowHeight="15"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39F60-398B-4A7E-8A5C-591C18689670}">
  <dimension ref="A1:I13"/>
  <sheetViews>
    <sheetView workbookViewId="0">
      <selection activeCell="F11" sqref="F11"/>
    </sheetView>
  </sheetViews>
  <sheetFormatPr defaultRowHeight="15" x14ac:dyDescent="0.25"/>
  <cols>
    <col min="1" max="1" width="13.140625" bestFit="1" customWidth="1"/>
    <col min="2" max="2" width="12.140625" bestFit="1" customWidth="1"/>
  </cols>
  <sheetData>
    <row r="1" spans="1:9" x14ac:dyDescent="0.25">
      <c r="E1">
        <f>SUM(Table1_1[Profit2])</f>
        <v>1225430.2299999981</v>
      </c>
      <c r="F1">
        <f>AVERAGE(Table1_1[profit_margin])</f>
        <v>468.36455471175316</v>
      </c>
    </row>
    <row r="3" spans="1:9" x14ac:dyDescent="0.25">
      <c r="A3" s="5" t="s">
        <v>579</v>
      </c>
      <c r="B3" t="s">
        <v>581</v>
      </c>
    </row>
    <row r="4" spans="1:9" x14ac:dyDescent="0.25">
      <c r="A4" s="6" t="s">
        <v>549</v>
      </c>
      <c r="B4" s="8">
        <v>1154477</v>
      </c>
    </row>
    <row r="5" spans="1:9" x14ac:dyDescent="0.25">
      <c r="A5" s="6" t="s">
        <v>551</v>
      </c>
      <c r="B5" s="8">
        <v>1072163</v>
      </c>
    </row>
    <row r="6" spans="1:9" x14ac:dyDescent="0.25">
      <c r="A6" s="6" t="s">
        <v>552</v>
      </c>
      <c r="B6" s="8">
        <v>1103292</v>
      </c>
    </row>
    <row r="7" spans="1:9" x14ac:dyDescent="0.25">
      <c r="A7" s="6" t="s">
        <v>550</v>
      </c>
      <c r="B7" s="8">
        <v>1662751</v>
      </c>
    </row>
    <row r="8" spans="1:9" x14ac:dyDescent="0.25">
      <c r="A8" s="6" t="s">
        <v>580</v>
      </c>
      <c r="B8" s="8">
        <v>4992683</v>
      </c>
      <c r="I8">
        <f>GETPIVOTDATA("Sales",KPIs!$A$3)</f>
        <v>4992683</v>
      </c>
    </row>
    <row r="10" spans="1:9" x14ac:dyDescent="0.25">
      <c r="F10">
        <f>KPIs!I8</f>
        <v>4992683</v>
      </c>
    </row>
    <row r="13" spans="1:9" x14ac:dyDescent="0.25">
      <c r="G13" t="b">
        <f>I6=GETPIVOTDATA("Sales",KPIs!$A$3)=GETPIVOTDATA("Sales",KPIs!$A$3)</f>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E1E31-8FD1-49F4-BF71-8367D345293A}">
  <dimension ref="A1:O401"/>
  <sheetViews>
    <sheetView topLeftCell="A2" workbookViewId="0">
      <selection activeCell="A2" sqref="A2"/>
    </sheetView>
  </sheetViews>
  <sheetFormatPr defaultRowHeight="15" x14ac:dyDescent="0.25"/>
  <cols>
    <col min="1" max="1" width="11.28515625" bestFit="1" customWidth="1"/>
    <col min="2" max="2" width="15.5703125" bestFit="1" customWidth="1"/>
    <col min="3" max="3" width="14.7109375" bestFit="1" customWidth="1"/>
    <col min="4" max="4" width="9.42578125" bestFit="1" customWidth="1"/>
    <col min="5" max="5" width="19.140625" bestFit="1" customWidth="1"/>
    <col min="6" max="6" width="16.5703125" bestFit="1" customWidth="1"/>
    <col min="7" max="7" width="11" bestFit="1" customWidth="1"/>
    <col min="8" max="8" width="12.5703125" bestFit="1" customWidth="1"/>
    <col min="9" max="9" width="7.85546875" bestFit="1" customWidth="1"/>
    <col min="10" max="10" width="8.28515625" bestFit="1" customWidth="1"/>
    <col min="14" max="14" width="13.140625" bestFit="1" customWidth="1"/>
    <col min="15" max="15" width="12.140625" bestFit="1" customWidth="1"/>
  </cols>
  <sheetData>
    <row r="1" spans="1:15" x14ac:dyDescent="0.25">
      <c r="A1" t="s">
        <v>0</v>
      </c>
      <c r="B1" t="s">
        <v>1</v>
      </c>
      <c r="C1" t="s">
        <v>2</v>
      </c>
      <c r="D1" t="s">
        <v>3</v>
      </c>
      <c r="E1" t="s">
        <v>4</v>
      </c>
      <c r="F1" t="s">
        <v>5</v>
      </c>
      <c r="G1" t="s">
        <v>6</v>
      </c>
      <c r="H1" t="s">
        <v>7</v>
      </c>
      <c r="I1" t="s">
        <v>8</v>
      </c>
      <c r="J1" t="s">
        <v>594</v>
      </c>
      <c r="K1" t="s">
        <v>596</v>
      </c>
    </row>
    <row r="2" spans="1:15" x14ac:dyDescent="0.25">
      <c r="A2" t="s">
        <v>10</v>
      </c>
      <c r="B2" s="4">
        <v>45466</v>
      </c>
      <c r="C2" t="s">
        <v>410</v>
      </c>
      <c r="D2" t="s">
        <v>549</v>
      </c>
      <c r="E2" t="s">
        <v>553</v>
      </c>
      <c r="F2" t="s">
        <v>557</v>
      </c>
      <c r="G2">
        <v>1</v>
      </c>
      <c r="H2">
        <v>4311</v>
      </c>
      <c r="I2">
        <v>4311</v>
      </c>
      <c r="J2" s="7">
        <v>1288.51</v>
      </c>
      <c r="K2">
        <f>Table1_1[[#This Row],[Sales]]/Table1_1[[#This Row],[Profit2]]*100</f>
        <v>334.57249070631974</v>
      </c>
    </row>
    <row r="3" spans="1:15" x14ac:dyDescent="0.25">
      <c r="A3" t="s">
        <v>11</v>
      </c>
      <c r="B3" s="4">
        <v>45395</v>
      </c>
      <c r="C3" t="s">
        <v>411</v>
      </c>
      <c r="D3" t="s">
        <v>550</v>
      </c>
      <c r="E3" t="s">
        <v>553</v>
      </c>
      <c r="F3" t="s">
        <v>557</v>
      </c>
      <c r="G3">
        <v>9</v>
      </c>
      <c r="H3">
        <v>692</v>
      </c>
      <c r="I3">
        <v>6228</v>
      </c>
      <c r="J3" s="7">
        <v>924.3</v>
      </c>
      <c r="K3">
        <f>Table1_1[[#This Row],[Sales]]/Table1_1[[#This Row],[Profit2]]*100</f>
        <v>673.80720545277507</v>
      </c>
    </row>
    <row r="4" spans="1:15" x14ac:dyDescent="0.25">
      <c r="A4" t="s">
        <v>12</v>
      </c>
      <c r="B4" s="4">
        <v>45588</v>
      </c>
      <c r="C4" t="s">
        <v>412</v>
      </c>
      <c r="D4" t="s">
        <v>551</v>
      </c>
      <c r="E4" t="s">
        <v>554</v>
      </c>
      <c r="F4" t="s">
        <v>558</v>
      </c>
      <c r="G4">
        <v>8</v>
      </c>
      <c r="H4">
        <v>1331</v>
      </c>
      <c r="I4">
        <v>10648</v>
      </c>
      <c r="J4" s="7">
        <v>1235.77</v>
      </c>
      <c r="K4">
        <f>Table1_1[[#This Row],[Sales]]/Table1_1[[#This Row],[Profit2]]*100</f>
        <v>861.64901235666832</v>
      </c>
    </row>
    <row r="5" spans="1:15" x14ac:dyDescent="0.25">
      <c r="A5" t="s">
        <v>13</v>
      </c>
      <c r="B5" s="4">
        <v>45421</v>
      </c>
      <c r="C5" t="s">
        <v>413</v>
      </c>
      <c r="D5" t="s">
        <v>549</v>
      </c>
      <c r="E5" t="s">
        <v>555</v>
      </c>
      <c r="F5" t="s">
        <v>559</v>
      </c>
      <c r="G5">
        <v>6</v>
      </c>
      <c r="H5">
        <v>3721</v>
      </c>
      <c r="I5">
        <v>22326</v>
      </c>
      <c r="J5" s="7">
        <v>5433.51</v>
      </c>
      <c r="K5">
        <f>Table1_1[[#This Row],[Sales]]/Table1_1[[#This Row],[Profit2]]*100</f>
        <v>410.89461508306783</v>
      </c>
    </row>
    <row r="6" spans="1:15" x14ac:dyDescent="0.25">
      <c r="A6" t="s">
        <v>14</v>
      </c>
      <c r="B6" s="4">
        <v>45632</v>
      </c>
      <c r="C6" t="s">
        <v>414</v>
      </c>
      <c r="D6" t="s">
        <v>549</v>
      </c>
      <c r="E6" t="s">
        <v>553</v>
      </c>
      <c r="F6" t="s">
        <v>557</v>
      </c>
      <c r="G6">
        <v>7</v>
      </c>
      <c r="H6">
        <v>510</v>
      </c>
      <c r="I6">
        <v>3570</v>
      </c>
      <c r="J6" s="7">
        <v>1182.0899999999999</v>
      </c>
      <c r="K6">
        <f>Table1_1[[#This Row],[Sales]]/Table1_1[[#This Row],[Profit2]]*100</f>
        <v>302.00746136081011</v>
      </c>
      <c r="N6" s="5" t="s">
        <v>579</v>
      </c>
      <c r="O6" t="s">
        <v>581</v>
      </c>
    </row>
    <row r="7" spans="1:15" x14ac:dyDescent="0.25">
      <c r="A7" t="s">
        <v>15</v>
      </c>
      <c r="B7" s="4">
        <v>45406</v>
      </c>
      <c r="C7" t="s">
        <v>415</v>
      </c>
      <c r="D7" t="s">
        <v>550</v>
      </c>
      <c r="E7" t="s">
        <v>553</v>
      </c>
      <c r="F7" t="s">
        <v>560</v>
      </c>
      <c r="G7">
        <v>3</v>
      </c>
      <c r="H7">
        <v>938</v>
      </c>
      <c r="I7">
        <v>2814</v>
      </c>
      <c r="J7" s="7">
        <v>285.02</v>
      </c>
      <c r="K7">
        <f>Table1_1[[#This Row],[Sales]]/Table1_1[[#This Row],[Profit2]]*100</f>
        <v>987.29913690267358</v>
      </c>
      <c r="N7" s="6" t="s">
        <v>553</v>
      </c>
      <c r="O7" s="8">
        <v>1318811</v>
      </c>
    </row>
    <row r="8" spans="1:15" x14ac:dyDescent="0.25">
      <c r="A8" t="s">
        <v>16</v>
      </c>
      <c r="B8" s="4">
        <v>45377</v>
      </c>
      <c r="C8" t="s">
        <v>416</v>
      </c>
      <c r="D8" t="s">
        <v>551</v>
      </c>
      <c r="E8" t="s">
        <v>556</v>
      </c>
      <c r="F8" t="s">
        <v>561</v>
      </c>
      <c r="G8">
        <v>1</v>
      </c>
      <c r="H8">
        <v>3441</v>
      </c>
      <c r="I8">
        <v>3441</v>
      </c>
      <c r="J8" s="7">
        <v>1008.41</v>
      </c>
      <c r="K8">
        <f>Table1_1[[#This Row],[Sales]]/Table1_1[[#This Row],[Profit2]]*100</f>
        <v>341.23025356749736</v>
      </c>
      <c r="N8" s="6" t="s">
        <v>554</v>
      </c>
      <c r="O8" s="8">
        <v>1184465</v>
      </c>
    </row>
    <row r="9" spans="1:15" x14ac:dyDescent="0.25">
      <c r="A9" t="s">
        <v>17</v>
      </c>
      <c r="B9" s="4">
        <v>45484</v>
      </c>
      <c r="C9" t="s">
        <v>417</v>
      </c>
      <c r="D9" t="s">
        <v>551</v>
      </c>
      <c r="E9" t="s">
        <v>553</v>
      </c>
      <c r="F9" t="s">
        <v>562</v>
      </c>
      <c r="G9">
        <v>5</v>
      </c>
      <c r="H9">
        <v>745</v>
      </c>
      <c r="I9">
        <v>3725</v>
      </c>
      <c r="J9" s="7">
        <v>1086.93</v>
      </c>
      <c r="K9">
        <f>Table1_1[[#This Row],[Sales]]/Table1_1[[#This Row],[Profit2]]*100</f>
        <v>342.70836208403483</v>
      </c>
      <c r="N9" s="6" t="s">
        <v>555</v>
      </c>
      <c r="O9" s="8">
        <v>1280892</v>
      </c>
    </row>
    <row r="10" spans="1:15" x14ac:dyDescent="0.25">
      <c r="A10" t="s">
        <v>18</v>
      </c>
      <c r="B10" s="4">
        <v>45298</v>
      </c>
      <c r="C10" t="s">
        <v>418</v>
      </c>
      <c r="D10" t="s">
        <v>549</v>
      </c>
      <c r="E10" t="s">
        <v>553</v>
      </c>
      <c r="F10" t="s">
        <v>557</v>
      </c>
      <c r="G10">
        <v>2</v>
      </c>
      <c r="H10">
        <v>2661</v>
      </c>
      <c r="I10">
        <v>5322</v>
      </c>
      <c r="J10" s="7">
        <v>1723.23</v>
      </c>
      <c r="K10">
        <f>Table1_1[[#This Row],[Sales]]/Table1_1[[#This Row],[Profit2]]*100</f>
        <v>308.83863442488814</v>
      </c>
      <c r="N10" s="6" t="s">
        <v>556</v>
      </c>
      <c r="O10" s="8">
        <v>1208515</v>
      </c>
    </row>
    <row r="11" spans="1:15" x14ac:dyDescent="0.25">
      <c r="A11" t="s">
        <v>19</v>
      </c>
      <c r="B11" s="4">
        <v>45540</v>
      </c>
      <c r="C11" t="s">
        <v>419</v>
      </c>
      <c r="D11" t="s">
        <v>552</v>
      </c>
      <c r="E11" t="s">
        <v>556</v>
      </c>
      <c r="F11" t="s">
        <v>563</v>
      </c>
      <c r="G11">
        <v>5</v>
      </c>
      <c r="H11">
        <v>4546</v>
      </c>
      <c r="I11">
        <v>22730</v>
      </c>
      <c r="J11" s="7">
        <v>7358.84</v>
      </c>
      <c r="K11">
        <f>Table1_1[[#This Row],[Sales]]/Table1_1[[#This Row],[Profit2]]*100</f>
        <v>308.88020394518702</v>
      </c>
      <c r="N11" s="6" t="s">
        <v>580</v>
      </c>
      <c r="O11" s="8">
        <v>4992683</v>
      </c>
    </row>
    <row r="12" spans="1:15" x14ac:dyDescent="0.25">
      <c r="A12" t="s">
        <v>20</v>
      </c>
      <c r="B12" s="4">
        <v>45646</v>
      </c>
      <c r="C12" t="s">
        <v>420</v>
      </c>
      <c r="D12" t="s">
        <v>549</v>
      </c>
      <c r="E12" t="s">
        <v>554</v>
      </c>
      <c r="F12" t="s">
        <v>564</v>
      </c>
      <c r="G12">
        <v>8</v>
      </c>
      <c r="H12">
        <v>2004</v>
      </c>
      <c r="I12">
        <v>16032</v>
      </c>
      <c r="J12" s="7">
        <v>5001.8900000000003</v>
      </c>
      <c r="K12">
        <f>Table1_1[[#This Row],[Sales]]/Table1_1[[#This Row],[Profit2]]*100</f>
        <v>320.51884387701449</v>
      </c>
    </row>
    <row r="13" spans="1:15" x14ac:dyDescent="0.25">
      <c r="A13" t="s">
        <v>21</v>
      </c>
      <c r="B13" s="4">
        <v>45522</v>
      </c>
      <c r="C13" t="s">
        <v>421</v>
      </c>
      <c r="D13" t="s">
        <v>549</v>
      </c>
      <c r="E13" t="s">
        <v>553</v>
      </c>
      <c r="F13" t="s">
        <v>560</v>
      </c>
      <c r="G13">
        <v>9</v>
      </c>
      <c r="H13">
        <v>3412</v>
      </c>
      <c r="I13">
        <v>30708</v>
      </c>
      <c r="J13" s="7">
        <v>6451.58</v>
      </c>
      <c r="K13">
        <f>Table1_1[[#This Row],[Sales]]/Table1_1[[#This Row],[Profit2]]*100</f>
        <v>475.97642747978017</v>
      </c>
    </row>
    <row r="14" spans="1:15" x14ac:dyDescent="0.25">
      <c r="A14" t="s">
        <v>22</v>
      </c>
      <c r="B14" s="4">
        <v>45440</v>
      </c>
      <c r="C14" t="s">
        <v>422</v>
      </c>
      <c r="D14" t="s">
        <v>549</v>
      </c>
      <c r="E14" t="s">
        <v>556</v>
      </c>
      <c r="F14" t="s">
        <v>565</v>
      </c>
      <c r="G14">
        <v>2</v>
      </c>
      <c r="H14">
        <v>4010</v>
      </c>
      <c r="I14">
        <v>8020</v>
      </c>
      <c r="J14" s="7">
        <v>2427.1999999999998</v>
      </c>
      <c r="K14">
        <f>Table1_1[[#This Row],[Sales]]/Table1_1[[#This Row],[Profit2]]*100</f>
        <v>330.4218852999341</v>
      </c>
    </row>
    <row r="15" spans="1:15" x14ac:dyDescent="0.25">
      <c r="A15" t="s">
        <v>23</v>
      </c>
      <c r="B15" s="4">
        <v>45636</v>
      </c>
      <c r="C15" t="s">
        <v>423</v>
      </c>
      <c r="D15" t="s">
        <v>549</v>
      </c>
      <c r="E15" t="s">
        <v>555</v>
      </c>
      <c r="F15" t="s">
        <v>566</v>
      </c>
      <c r="G15">
        <v>3</v>
      </c>
      <c r="H15">
        <v>1013</v>
      </c>
      <c r="I15">
        <v>3039</v>
      </c>
      <c r="J15" s="7">
        <v>1101.6199999999999</v>
      </c>
      <c r="K15">
        <f>Table1_1[[#This Row],[Sales]]/Table1_1[[#This Row],[Profit2]]*100</f>
        <v>275.86645122637572</v>
      </c>
    </row>
    <row r="16" spans="1:15" x14ac:dyDescent="0.25">
      <c r="A16" t="s">
        <v>24</v>
      </c>
      <c r="B16" s="4">
        <v>45636</v>
      </c>
      <c r="C16" t="s">
        <v>424</v>
      </c>
      <c r="D16" t="s">
        <v>550</v>
      </c>
      <c r="E16" t="s">
        <v>554</v>
      </c>
      <c r="F16" t="s">
        <v>564</v>
      </c>
      <c r="G16">
        <v>3</v>
      </c>
      <c r="H16">
        <v>4324</v>
      </c>
      <c r="I16">
        <v>12972</v>
      </c>
      <c r="J16" s="7">
        <v>3018.38</v>
      </c>
      <c r="K16">
        <f>Table1_1[[#This Row],[Sales]]/Table1_1[[#This Row],[Profit2]]*100</f>
        <v>429.76696108508531</v>
      </c>
    </row>
    <row r="17" spans="1:11" x14ac:dyDescent="0.25">
      <c r="A17" t="s">
        <v>25</v>
      </c>
      <c r="B17" s="4">
        <v>45571</v>
      </c>
      <c r="C17" t="s">
        <v>425</v>
      </c>
      <c r="D17" t="s">
        <v>551</v>
      </c>
      <c r="E17" t="s">
        <v>555</v>
      </c>
      <c r="F17" t="s">
        <v>567</v>
      </c>
      <c r="G17">
        <v>1</v>
      </c>
      <c r="H17">
        <v>2232</v>
      </c>
      <c r="I17">
        <v>2232</v>
      </c>
      <c r="J17" s="7">
        <v>262.54000000000002</v>
      </c>
      <c r="K17">
        <f>Table1_1[[#This Row],[Sales]]/Table1_1[[#This Row],[Profit2]]*100</f>
        <v>850.15616667936308</v>
      </c>
    </row>
    <row r="18" spans="1:11" x14ac:dyDescent="0.25">
      <c r="A18" t="s">
        <v>26</v>
      </c>
      <c r="B18" s="4">
        <v>45498</v>
      </c>
      <c r="C18" t="s">
        <v>426</v>
      </c>
      <c r="D18" t="s">
        <v>550</v>
      </c>
      <c r="E18" t="s">
        <v>555</v>
      </c>
      <c r="F18" t="s">
        <v>559</v>
      </c>
      <c r="G18">
        <v>8</v>
      </c>
      <c r="H18">
        <v>4772</v>
      </c>
      <c r="I18">
        <v>38176</v>
      </c>
      <c r="J18" s="7">
        <v>6448.55</v>
      </c>
      <c r="K18">
        <f>Table1_1[[#This Row],[Sales]]/Table1_1[[#This Row],[Profit2]]*100</f>
        <v>592.00905629947817</v>
      </c>
    </row>
    <row r="19" spans="1:11" x14ac:dyDescent="0.25">
      <c r="A19" t="s">
        <v>27</v>
      </c>
      <c r="B19" s="4">
        <v>45347</v>
      </c>
      <c r="C19" t="s">
        <v>427</v>
      </c>
      <c r="D19" t="s">
        <v>550</v>
      </c>
      <c r="E19" t="s">
        <v>556</v>
      </c>
      <c r="F19" t="s">
        <v>563</v>
      </c>
      <c r="G19">
        <v>6</v>
      </c>
      <c r="H19">
        <v>4613</v>
      </c>
      <c r="I19">
        <v>27678</v>
      </c>
      <c r="J19" s="7">
        <v>8369.51</v>
      </c>
      <c r="K19">
        <f>Table1_1[[#This Row],[Sales]]/Table1_1[[#This Row],[Profit2]]*100</f>
        <v>330.70036358161946</v>
      </c>
    </row>
    <row r="20" spans="1:11" x14ac:dyDescent="0.25">
      <c r="A20" t="s">
        <v>28</v>
      </c>
      <c r="B20" s="4">
        <v>45629</v>
      </c>
      <c r="C20" t="s">
        <v>428</v>
      </c>
      <c r="D20" t="s">
        <v>550</v>
      </c>
      <c r="E20" t="s">
        <v>553</v>
      </c>
      <c r="F20" t="s">
        <v>562</v>
      </c>
      <c r="G20">
        <v>8</v>
      </c>
      <c r="H20">
        <v>444</v>
      </c>
      <c r="I20">
        <v>3552</v>
      </c>
      <c r="J20" s="7">
        <v>1073.08</v>
      </c>
      <c r="K20">
        <f>Table1_1[[#This Row],[Sales]]/Table1_1[[#This Row],[Profit2]]*100</f>
        <v>331.00980355611887</v>
      </c>
    </row>
    <row r="21" spans="1:11" x14ac:dyDescent="0.25">
      <c r="A21" t="s">
        <v>29</v>
      </c>
      <c r="B21" s="4">
        <v>45412</v>
      </c>
      <c r="C21" t="s">
        <v>429</v>
      </c>
      <c r="D21" t="s">
        <v>549</v>
      </c>
      <c r="E21" t="s">
        <v>556</v>
      </c>
      <c r="F21" t="s">
        <v>568</v>
      </c>
      <c r="G21">
        <v>9</v>
      </c>
      <c r="H21">
        <v>4992</v>
      </c>
      <c r="I21">
        <v>44928</v>
      </c>
      <c r="J21" s="7">
        <v>7682.12</v>
      </c>
      <c r="K21">
        <f>Table1_1[[#This Row],[Sales]]/Table1_1[[#This Row],[Profit2]]*100</f>
        <v>584.83856018911445</v>
      </c>
    </row>
    <row r="22" spans="1:11" x14ac:dyDescent="0.25">
      <c r="A22" t="s">
        <v>30</v>
      </c>
      <c r="B22" s="4">
        <v>45399</v>
      </c>
      <c r="C22" t="s">
        <v>430</v>
      </c>
      <c r="D22" t="s">
        <v>552</v>
      </c>
      <c r="E22" t="s">
        <v>556</v>
      </c>
      <c r="F22" t="s">
        <v>569</v>
      </c>
      <c r="G22">
        <v>5</v>
      </c>
      <c r="H22">
        <v>471</v>
      </c>
      <c r="I22">
        <v>2355</v>
      </c>
      <c r="J22" s="7">
        <v>642.91</v>
      </c>
      <c r="K22">
        <f>Table1_1[[#This Row],[Sales]]/Table1_1[[#This Row],[Profit2]]*100</f>
        <v>366.30321506898326</v>
      </c>
    </row>
    <row r="23" spans="1:11" x14ac:dyDescent="0.25">
      <c r="A23" t="s">
        <v>31</v>
      </c>
      <c r="B23" s="4">
        <v>45317</v>
      </c>
      <c r="C23" t="s">
        <v>431</v>
      </c>
      <c r="D23" t="s">
        <v>551</v>
      </c>
      <c r="E23" t="s">
        <v>556</v>
      </c>
      <c r="F23" t="s">
        <v>569</v>
      </c>
      <c r="G23">
        <v>3</v>
      </c>
      <c r="H23">
        <v>3711</v>
      </c>
      <c r="I23">
        <v>11133</v>
      </c>
      <c r="J23" s="7">
        <v>4394.3</v>
      </c>
      <c r="K23">
        <f>Table1_1[[#This Row],[Sales]]/Table1_1[[#This Row],[Profit2]]*100</f>
        <v>253.35093188903807</v>
      </c>
    </row>
    <row r="24" spans="1:11" x14ac:dyDescent="0.25">
      <c r="A24" t="s">
        <v>32</v>
      </c>
      <c r="B24" s="4">
        <v>45399</v>
      </c>
      <c r="C24" t="s">
        <v>432</v>
      </c>
      <c r="D24" t="s">
        <v>552</v>
      </c>
      <c r="E24" t="s">
        <v>556</v>
      </c>
      <c r="F24" t="s">
        <v>561</v>
      </c>
      <c r="G24">
        <v>5</v>
      </c>
      <c r="H24">
        <v>1971</v>
      </c>
      <c r="I24">
        <v>9855</v>
      </c>
      <c r="J24" s="7">
        <v>1711.72</v>
      </c>
      <c r="K24">
        <f>Table1_1[[#This Row],[Sales]]/Table1_1[[#This Row],[Profit2]]*100</f>
        <v>575.73668590657348</v>
      </c>
    </row>
    <row r="25" spans="1:11" x14ac:dyDescent="0.25">
      <c r="A25" t="s">
        <v>33</v>
      </c>
      <c r="B25" s="4">
        <v>45406</v>
      </c>
      <c r="C25" t="s">
        <v>433</v>
      </c>
      <c r="D25" t="s">
        <v>550</v>
      </c>
      <c r="E25" t="s">
        <v>554</v>
      </c>
      <c r="F25" t="s">
        <v>564</v>
      </c>
      <c r="G25">
        <v>5</v>
      </c>
      <c r="H25">
        <v>1462</v>
      </c>
      <c r="I25">
        <v>7310</v>
      </c>
      <c r="J25" s="7">
        <v>1236.27</v>
      </c>
      <c r="K25">
        <f>Table1_1[[#This Row],[Sales]]/Table1_1[[#This Row],[Profit2]]*100</f>
        <v>591.29478188421615</v>
      </c>
    </row>
    <row r="26" spans="1:11" x14ac:dyDescent="0.25">
      <c r="A26" t="s">
        <v>34</v>
      </c>
      <c r="B26" s="4">
        <v>45485</v>
      </c>
      <c r="C26" t="s">
        <v>434</v>
      </c>
      <c r="D26" t="s">
        <v>550</v>
      </c>
      <c r="E26" t="s">
        <v>553</v>
      </c>
      <c r="F26" t="s">
        <v>557</v>
      </c>
      <c r="G26">
        <v>5</v>
      </c>
      <c r="H26">
        <v>2624</v>
      </c>
      <c r="I26">
        <v>13120</v>
      </c>
      <c r="J26" s="7">
        <v>2673.37</v>
      </c>
      <c r="K26">
        <f>Table1_1[[#This Row],[Sales]]/Table1_1[[#This Row],[Profit2]]*100</f>
        <v>490.76633612257189</v>
      </c>
    </row>
    <row r="27" spans="1:11" x14ac:dyDescent="0.25">
      <c r="A27" t="s">
        <v>35</v>
      </c>
      <c r="B27" s="4">
        <v>45492</v>
      </c>
      <c r="C27" t="s">
        <v>435</v>
      </c>
      <c r="D27" t="s">
        <v>552</v>
      </c>
      <c r="E27" t="s">
        <v>555</v>
      </c>
      <c r="F27" t="s">
        <v>559</v>
      </c>
      <c r="G27">
        <v>3</v>
      </c>
      <c r="H27">
        <v>4561</v>
      </c>
      <c r="I27">
        <v>13683</v>
      </c>
      <c r="J27" s="7">
        <v>4016.82</v>
      </c>
      <c r="K27">
        <f>Table1_1[[#This Row],[Sales]]/Table1_1[[#This Row],[Profit2]]*100</f>
        <v>340.6425978759317</v>
      </c>
    </row>
    <row r="28" spans="1:11" x14ac:dyDescent="0.25">
      <c r="A28" t="s">
        <v>36</v>
      </c>
      <c r="B28" s="4">
        <v>45551</v>
      </c>
      <c r="C28" t="s">
        <v>436</v>
      </c>
      <c r="D28" t="s">
        <v>552</v>
      </c>
      <c r="E28" t="s">
        <v>555</v>
      </c>
      <c r="F28" t="s">
        <v>566</v>
      </c>
      <c r="G28">
        <v>4</v>
      </c>
      <c r="H28">
        <v>1120</v>
      </c>
      <c r="I28">
        <v>4480</v>
      </c>
      <c r="J28" s="7">
        <v>1036.8499999999999</v>
      </c>
      <c r="K28">
        <f>Table1_1[[#This Row],[Sales]]/Table1_1[[#This Row],[Profit2]]*100</f>
        <v>432.07792834064713</v>
      </c>
    </row>
    <row r="29" spans="1:11" x14ac:dyDescent="0.25">
      <c r="A29" t="s">
        <v>37</v>
      </c>
      <c r="B29" s="4">
        <v>45378</v>
      </c>
      <c r="C29" t="s">
        <v>437</v>
      </c>
      <c r="D29" t="s">
        <v>552</v>
      </c>
      <c r="E29" t="s">
        <v>553</v>
      </c>
      <c r="F29" t="s">
        <v>560</v>
      </c>
      <c r="G29">
        <v>9</v>
      </c>
      <c r="H29">
        <v>3630</v>
      </c>
      <c r="I29">
        <v>32670</v>
      </c>
      <c r="J29" s="7">
        <v>11215.06</v>
      </c>
      <c r="K29">
        <f>Table1_1[[#This Row],[Sales]]/Table1_1[[#This Row],[Profit2]]*100</f>
        <v>291.3047277500076</v>
      </c>
    </row>
    <row r="30" spans="1:11" x14ac:dyDescent="0.25">
      <c r="A30" t="s">
        <v>38</v>
      </c>
      <c r="B30" s="4">
        <v>45334</v>
      </c>
      <c r="C30" t="s">
        <v>438</v>
      </c>
      <c r="D30" t="s">
        <v>550</v>
      </c>
      <c r="E30" t="s">
        <v>555</v>
      </c>
      <c r="F30" t="s">
        <v>559</v>
      </c>
      <c r="G30">
        <v>9</v>
      </c>
      <c r="H30">
        <v>4635</v>
      </c>
      <c r="I30">
        <v>41715</v>
      </c>
      <c r="J30" s="7">
        <v>9109.2000000000007</v>
      </c>
      <c r="K30">
        <f>Table1_1[[#This Row],[Sales]]/Table1_1[[#This Row],[Profit2]]*100</f>
        <v>457.9436174417072</v>
      </c>
    </row>
    <row r="31" spans="1:11" x14ac:dyDescent="0.25">
      <c r="A31" t="s">
        <v>39</v>
      </c>
      <c r="B31" s="4">
        <v>45443</v>
      </c>
      <c r="C31" t="s">
        <v>434</v>
      </c>
      <c r="D31" t="s">
        <v>550</v>
      </c>
      <c r="E31" t="s">
        <v>553</v>
      </c>
      <c r="F31" t="s">
        <v>560</v>
      </c>
      <c r="G31">
        <v>2</v>
      </c>
      <c r="H31">
        <v>4684</v>
      </c>
      <c r="I31">
        <v>9368</v>
      </c>
      <c r="J31" s="7">
        <v>3139.69</v>
      </c>
      <c r="K31">
        <f>Table1_1[[#This Row],[Sales]]/Table1_1[[#This Row],[Profit2]]*100</f>
        <v>298.37340629170399</v>
      </c>
    </row>
    <row r="32" spans="1:11" x14ac:dyDescent="0.25">
      <c r="A32" t="s">
        <v>40</v>
      </c>
      <c r="B32" s="4">
        <v>45611</v>
      </c>
      <c r="C32" t="s">
        <v>439</v>
      </c>
      <c r="D32" t="s">
        <v>551</v>
      </c>
      <c r="E32" t="s">
        <v>555</v>
      </c>
      <c r="F32" t="s">
        <v>567</v>
      </c>
      <c r="G32">
        <v>8</v>
      </c>
      <c r="H32">
        <v>2824</v>
      </c>
      <c r="I32">
        <v>22592</v>
      </c>
      <c r="J32" s="7">
        <v>2721.55</v>
      </c>
      <c r="K32">
        <f>Table1_1[[#This Row],[Sales]]/Table1_1[[#This Row],[Profit2]]*100</f>
        <v>830.11519171060593</v>
      </c>
    </row>
    <row r="33" spans="1:11" x14ac:dyDescent="0.25">
      <c r="A33" t="s">
        <v>41</v>
      </c>
      <c r="B33" s="4">
        <v>45413</v>
      </c>
      <c r="C33" t="s">
        <v>440</v>
      </c>
      <c r="D33" t="s">
        <v>551</v>
      </c>
      <c r="E33" t="s">
        <v>556</v>
      </c>
      <c r="F33" t="s">
        <v>569</v>
      </c>
      <c r="G33">
        <v>8</v>
      </c>
      <c r="H33">
        <v>3960</v>
      </c>
      <c r="I33">
        <v>31680</v>
      </c>
      <c r="J33" s="7">
        <v>11134.64</v>
      </c>
      <c r="K33">
        <f>Table1_1[[#This Row],[Sales]]/Table1_1[[#This Row],[Profit2]]*100</f>
        <v>284.51750572986646</v>
      </c>
    </row>
    <row r="34" spans="1:11" x14ac:dyDescent="0.25">
      <c r="A34" t="s">
        <v>42</v>
      </c>
      <c r="B34" s="4">
        <v>45530</v>
      </c>
      <c r="C34" t="s">
        <v>441</v>
      </c>
      <c r="D34" t="s">
        <v>550</v>
      </c>
      <c r="E34" t="s">
        <v>555</v>
      </c>
      <c r="F34" t="s">
        <v>570</v>
      </c>
      <c r="G34">
        <v>7</v>
      </c>
      <c r="H34">
        <v>2250</v>
      </c>
      <c r="I34">
        <v>15750</v>
      </c>
      <c r="J34" s="7">
        <v>1706.58</v>
      </c>
      <c r="K34">
        <f>Table1_1[[#This Row],[Sales]]/Table1_1[[#This Row],[Profit2]]*100</f>
        <v>922.89842843581914</v>
      </c>
    </row>
    <row r="35" spans="1:11" x14ac:dyDescent="0.25">
      <c r="A35" t="s">
        <v>43</v>
      </c>
      <c r="B35" s="4">
        <v>45572</v>
      </c>
      <c r="C35" t="s">
        <v>442</v>
      </c>
      <c r="D35" t="s">
        <v>552</v>
      </c>
      <c r="E35" t="s">
        <v>553</v>
      </c>
      <c r="F35" t="s">
        <v>571</v>
      </c>
      <c r="G35">
        <v>8</v>
      </c>
      <c r="H35">
        <v>3700</v>
      </c>
      <c r="I35">
        <v>29600</v>
      </c>
      <c r="J35" s="7">
        <v>6490.74</v>
      </c>
      <c r="K35">
        <f>Table1_1[[#This Row],[Sales]]/Table1_1[[#This Row],[Profit2]]*100</f>
        <v>456.034288848421</v>
      </c>
    </row>
    <row r="36" spans="1:11" x14ac:dyDescent="0.25">
      <c r="A36" t="s">
        <v>44</v>
      </c>
      <c r="B36" s="4">
        <v>45416</v>
      </c>
      <c r="C36" t="s">
        <v>443</v>
      </c>
      <c r="D36" t="s">
        <v>552</v>
      </c>
      <c r="E36" t="s">
        <v>553</v>
      </c>
      <c r="F36" t="s">
        <v>571</v>
      </c>
      <c r="G36">
        <v>3</v>
      </c>
      <c r="H36">
        <v>1365</v>
      </c>
      <c r="I36">
        <v>4095</v>
      </c>
      <c r="J36" s="7">
        <v>1229.21</v>
      </c>
      <c r="K36">
        <f>Table1_1[[#This Row],[Sales]]/Table1_1[[#This Row],[Profit2]]*100</f>
        <v>333.14079774814718</v>
      </c>
    </row>
    <row r="37" spans="1:11" x14ac:dyDescent="0.25">
      <c r="A37" t="s">
        <v>45</v>
      </c>
      <c r="B37" s="4">
        <v>45523</v>
      </c>
      <c r="C37" t="s">
        <v>444</v>
      </c>
      <c r="D37" t="s">
        <v>551</v>
      </c>
      <c r="E37" t="s">
        <v>553</v>
      </c>
      <c r="F37" t="s">
        <v>571</v>
      </c>
      <c r="G37">
        <v>6</v>
      </c>
      <c r="H37">
        <v>575</v>
      </c>
      <c r="I37">
        <v>3450</v>
      </c>
      <c r="J37" s="7">
        <v>724.62</v>
      </c>
      <c r="K37">
        <f>Table1_1[[#This Row],[Sales]]/Table1_1[[#This Row],[Profit2]]*100</f>
        <v>476.11161712345779</v>
      </c>
    </row>
    <row r="38" spans="1:11" x14ac:dyDescent="0.25">
      <c r="A38" t="s">
        <v>46</v>
      </c>
      <c r="B38" s="4">
        <v>45385</v>
      </c>
      <c r="C38" t="s">
        <v>445</v>
      </c>
      <c r="D38" t="s">
        <v>550</v>
      </c>
      <c r="E38" t="s">
        <v>553</v>
      </c>
      <c r="F38" t="s">
        <v>560</v>
      </c>
      <c r="G38">
        <v>1</v>
      </c>
      <c r="H38">
        <v>2233</v>
      </c>
      <c r="I38">
        <v>2233</v>
      </c>
      <c r="J38" s="7">
        <v>621.97</v>
      </c>
      <c r="K38">
        <f>Table1_1[[#This Row],[Sales]]/Table1_1[[#This Row],[Profit2]]*100</f>
        <v>359.02053153689081</v>
      </c>
    </row>
    <row r="39" spans="1:11" x14ac:dyDescent="0.25">
      <c r="A39" t="s">
        <v>47</v>
      </c>
      <c r="B39" s="4">
        <v>45302</v>
      </c>
      <c r="C39" t="s">
        <v>446</v>
      </c>
      <c r="D39" t="s">
        <v>551</v>
      </c>
      <c r="E39" t="s">
        <v>553</v>
      </c>
      <c r="F39" t="s">
        <v>562</v>
      </c>
      <c r="G39">
        <v>7</v>
      </c>
      <c r="H39">
        <v>345</v>
      </c>
      <c r="I39">
        <v>2415</v>
      </c>
      <c r="J39" s="7">
        <v>257.69</v>
      </c>
      <c r="K39">
        <f>Table1_1[[#This Row],[Sales]]/Table1_1[[#This Row],[Profit2]]*100</f>
        <v>937.17257169467189</v>
      </c>
    </row>
    <row r="40" spans="1:11" x14ac:dyDescent="0.25">
      <c r="A40" t="s">
        <v>48</v>
      </c>
      <c r="B40" s="4">
        <v>45441</v>
      </c>
      <c r="C40" t="s">
        <v>445</v>
      </c>
      <c r="D40" t="s">
        <v>551</v>
      </c>
      <c r="E40" t="s">
        <v>554</v>
      </c>
      <c r="F40" t="s">
        <v>572</v>
      </c>
      <c r="G40">
        <v>1</v>
      </c>
      <c r="H40">
        <v>4588</v>
      </c>
      <c r="I40">
        <v>4588</v>
      </c>
      <c r="J40" s="7">
        <v>883.16</v>
      </c>
      <c r="K40">
        <f>Table1_1[[#This Row],[Sales]]/Table1_1[[#This Row],[Profit2]]*100</f>
        <v>519.49816567779339</v>
      </c>
    </row>
    <row r="41" spans="1:11" x14ac:dyDescent="0.25">
      <c r="A41" t="s">
        <v>49</v>
      </c>
      <c r="B41" s="4">
        <v>45516</v>
      </c>
      <c r="C41" t="s">
        <v>447</v>
      </c>
      <c r="D41" t="s">
        <v>549</v>
      </c>
      <c r="E41" t="s">
        <v>554</v>
      </c>
      <c r="F41" t="s">
        <v>573</v>
      </c>
      <c r="G41">
        <v>9</v>
      </c>
      <c r="H41">
        <v>631</v>
      </c>
      <c r="I41">
        <v>5679</v>
      </c>
      <c r="J41" s="7">
        <v>770.51</v>
      </c>
      <c r="K41">
        <f>Table1_1[[#This Row],[Sales]]/Table1_1[[#This Row],[Profit2]]*100</f>
        <v>737.04429533685482</v>
      </c>
    </row>
    <row r="42" spans="1:11" x14ac:dyDescent="0.25">
      <c r="A42" t="s">
        <v>50</v>
      </c>
      <c r="B42" s="4">
        <v>45598</v>
      </c>
      <c r="C42" t="s">
        <v>448</v>
      </c>
      <c r="D42" t="s">
        <v>549</v>
      </c>
      <c r="E42" t="s">
        <v>555</v>
      </c>
      <c r="F42" t="s">
        <v>566</v>
      </c>
      <c r="G42">
        <v>1</v>
      </c>
      <c r="H42">
        <v>904</v>
      </c>
      <c r="I42">
        <v>904</v>
      </c>
      <c r="J42" s="7">
        <v>99.19</v>
      </c>
      <c r="K42">
        <f>Table1_1[[#This Row],[Sales]]/Table1_1[[#This Row],[Profit2]]*100</f>
        <v>911.38219578586563</v>
      </c>
    </row>
    <row r="43" spans="1:11" x14ac:dyDescent="0.25">
      <c r="A43" t="s">
        <v>51</v>
      </c>
      <c r="B43" s="4">
        <v>45653</v>
      </c>
      <c r="C43" t="s">
        <v>449</v>
      </c>
      <c r="D43" t="s">
        <v>549</v>
      </c>
      <c r="E43" t="s">
        <v>553</v>
      </c>
      <c r="F43" t="s">
        <v>571</v>
      </c>
      <c r="G43">
        <v>1</v>
      </c>
      <c r="H43">
        <v>2832</v>
      </c>
      <c r="I43">
        <v>2832</v>
      </c>
      <c r="J43" s="7">
        <v>1124.6600000000001</v>
      </c>
      <c r="K43">
        <f>Table1_1[[#This Row],[Sales]]/Table1_1[[#This Row],[Profit2]]*100</f>
        <v>251.80943574057935</v>
      </c>
    </row>
    <row r="44" spans="1:11" x14ac:dyDescent="0.25">
      <c r="A44" t="s">
        <v>52</v>
      </c>
      <c r="B44" s="4">
        <v>45358</v>
      </c>
      <c r="C44" t="s">
        <v>450</v>
      </c>
      <c r="D44" t="s">
        <v>552</v>
      </c>
      <c r="E44" t="s">
        <v>555</v>
      </c>
      <c r="F44" t="s">
        <v>559</v>
      </c>
      <c r="G44">
        <v>7</v>
      </c>
      <c r="H44">
        <v>4694</v>
      </c>
      <c r="I44">
        <v>32858</v>
      </c>
      <c r="J44" s="7">
        <v>7421.77</v>
      </c>
      <c r="K44">
        <f>Table1_1[[#This Row],[Sales]]/Table1_1[[#This Row],[Profit2]]*100</f>
        <v>442.72457917720436</v>
      </c>
    </row>
    <row r="45" spans="1:11" x14ac:dyDescent="0.25">
      <c r="A45" t="s">
        <v>53</v>
      </c>
      <c r="B45" s="4">
        <v>45460</v>
      </c>
      <c r="C45" t="s">
        <v>451</v>
      </c>
      <c r="D45" t="s">
        <v>550</v>
      </c>
      <c r="E45" t="s">
        <v>553</v>
      </c>
      <c r="F45" t="s">
        <v>557</v>
      </c>
      <c r="G45">
        <v>2</v>
      </c>
      <c r="H45">
        <v>1163</v>
      </c>
      <c r="I45">
        <v>2326</v>
      </c>
      <c r="J45" s="7">
        <v>510.84</v>
      </c>
      <c r="K45">
        <f>Table1_1[[#This Row],[Sales]]/Table1_1[[#This Row],[Profit2]]*100</f>
        <v>455.32847858429255</v>
      </c>
    </row>
    <row r="46" spans="1:11" x14ac:dyDescent="0.25">
      <c r="A46" t="s">
        <v>54</v>
      </c>
      <c r="B46" s="4">
        <v>45532</v>
      </c>
      <c r="C46" t="s">
        <v>452</v>
      </c>
      <c r="D46" t="s">
        <v>550</v>
      </c>
      <c r="E46" t="s">
        <v>553</v>
      </c>
      <c r="F46" t="s">
        <v>571</v>
      </c>
      <c r="G46">
        <v>5</v>
      </c>
      <c r="H46">
        <v>2434</v>
      </c>
      <c r="I46">
        <v>12170</v>
      </c>
      <c r="J46" s="7">
        <v>2545.2199999999998</v>
      </c>
      <c r="K46">
        <f>Table1_1[[#This Row],[Sales]]/Table1_1[[#This Row],[Profit2]]*100</f>
        <v>478.15120107495625</v>
      </c>
    </row>
    <row r="47" spans="1:11" x14ac:dyDescent="0.25">
      <c r="A47" t="s">
        <v>55</v>
      </c>
      <c r="B47" s="4">
        <v>45341</v>
      </c>
      <c r="C47" t="s">
        <v>453</v>
      </c>
      <c r="D47" t="s">
        <v>550</v>
      </c>
      <c r="E47" t="s">
        <v>554</v>
      </c>
      <c r="F47" t="s">
        <v>574</v>
      </c>
      <c r="G47">
        <v>8</v>
      </c>
      <c r="H47">
        <v>2241</v>
      </c>
      <c r="I47">
        <v>17928</v>
      </c>
      <c r="J47" s="7">
        <v>4925.6000000000004</v>
      </c>
      <c r="K47">
        <f>Table1_1[[#This Row],[Sales]]/Table1_1[[#This Row],[Profit2]]*100</f>
        <v>363.97596231931135</v>
      </c>
    </row>
    <row r="48" spans="1:11" x14ac:dyDescent="0.25">
      <c r="A48" t="s">
        <v>56</v>
      </c>
      <c r="B48" s="4">
        <v>45357</v>
      </c>
      <c r="C48" t="s">
        <v>454</v>
      </c>
      <c r="D48" t="s">
        <v>550</v>
      </c>
      <c r="E48" t="s">
        <v>554</v>
      </c>
      <c r="F48" t="s">
        <v>564</v>
      </c>
      <c r="G48">
        <v>8</v>
      </c>
      <c r="H48">
        <v>2028</v>
      </c>
      <c r="I48">
        <v>16224</v>
      </c>
      <c r="J48" s="7">
        <v>1741.31</v>
      </c>
      <c r="K48">
        <f>Table1_1[[#This Row],[Sales]]/Table1_1[[#This Row],[Profit2]]*100</f>
        <v>931.71233152052184</v>
      </c>
    </row>
    <row r="49" spans="1:11" x14ac:dyDescent="0.25">
      <c r="A49" t="s">
        <v>57</v>
      </c>
      <c r="B49" s="4">
        <v>45633</v>
      </c>
      <c r="C49" t="s">
        <v>455</v>
      </c>
      <c r="D49" t="s">
        <v>549</v>
      </c>
      <c r="E49" t="s">
        <v>556</v>
      </c>
      <c r="F49" t="s">
        <v>565</v>
      </c>
      <c r="G49">
        <v>3</v>
      </c>
      <c r="H49">
        <v>2308</v>
      </c>
      <c r="I49">
        <v>6924</v>
      </c>
      <c r="J49" s="7">
        <v>1272.33</v>
      </c>
      <c r="K49">
        <f>Table1_1[[#This Row],[Sales]]/Table1_1[[#This Row],[Profit2]]*100</f>
        <v>544.19843908419989</v>
      </c>
    </row>
    <row r="50" spans="1:11" x14ac:dyDescent="0.25">
      <c r="A50" t="s">
        <v>58</v>
      </c>
      <c r="B50" s="4">
        <v>45579</v>
      </c>
      <c r="C50" t="s">
        <v>429</v>
      </c>
      <c r="D50" t="s">
        <v>552</v>
      </c>
      <c r="E50" t="s">
        <v>554</v>
      </c>
      <c r="F50" t="s">
        <v>572</v>
      </c>
      <c r="G50">
        <v>7</v>
      </c>
      <c r="H50">
        <v>4268</v>
      </c>
      <c r="I50">
        <v>29876</v>
      </c>
      <c r="J50" s="7">
        <v>10054.86</v>
      </c>
      <c r="K50">
        <f>Table1_1[[#This Row],[Sales]]/Table1_1[[#This Row],[Profit2]]*100</f>
        <v>297.12994512106582</v>
      </c>
    </row>
    <row r="51" spans="1:11" x14ac:dyDescent="0.25">
      <c r="A51" t="s">
        <v>59</v>
      </c>
      <c r="B51" s="4">
        <v>45534</v>
      </c>
      <c r="C51" t="s">
        <v>456</v>
      </c>
      <c r="D51" t="s">
        <v>552</v>
      </c>
      <c r="E51" t="s">
        <v>556</v>
      </c>
      <c r="F51" t="s">
        <v>569</v>
      </c>
      <c r="G51">
        <v>3</v>
      </c>
      <c r="H51">
        <v>1138</v>
      </c>
      <c r="I51">
        <v>3414</v>
      </c>
      <c r="J51" s="7">
        <v>870.88</v>
      </c>
      <c r="K51">
        <f>Table1_1[[#This Row],[Sales]]/Table1_1[[#This Row],[Profit2]]*100</f>
        <v>392.01726988792944</v>
      </c>
    </row>
    <row r="52" spans="1:11" x14ac:dyDescent="0.25">
      <c r="A52" t="s">
        <v>60</v>
      </c>
      <c r="B52" s="4">
        <v>45388</v>
      </c>
      <c r="C52" t="s">
        <v>457</v>
      </c>
      <c r="D52" t="s">
        <v>549</v>
      </c>
      <c r="E52" t="s">
        <v>556</v>
      </c>
      <c r="F52" t="s">
        <v>568</v>
      </c>
      <c r="G52">
        <v>6</v>
      </c>
      <c r="H52">
        <v>1006</v>
      </c>
      <c r="I52">
        <v>6036</v>
      </c>
      <c r="J52" s="7">
        <v>1958.61</v>
      </c>
      <c r="K52">
        <f>Table1_1[[#This Row],[Sales]]/Table1_1[[#This Row],[Profit2]]*100</f>
        <v>308.1777382939942</v>
      </c>
    </row>
    <row r="53" spans="1:11" x14ac:dyDescent="0.25">
      <c r="A53" t="s">
        <v>61</v>
      </c>
      <c r="B53" s="4">
        <v>45597</v>
      </c>
      <c r="C53" t="s">
        <v>458</v>
      </c>
      <c r="D53" t="s">
        <v>552</v>
      </c>
      <c r="E53" t="s">
        <v>556</v>
      </c>
      <c r="F53" t="s">
        <v>565</v>
      </c>
      <c r="G53">
        <v>6</v>
      </c>
      <c r="H53">
        <v>1663</v>
      </c>
      <c r="I53">
        <v>9978</v>
      </c>
      <c r="J53" s="7">
        <v>2651.5</v>
      </c>
      <c r="K53">
        <f>Table1_1[[#This Row],[Sales]]/Table1_1[[#This Row],[Profit2]]*100</f>
        <v>376.31529323024699</v>
      </c>
    </row>
    <row r="54" spans="1:11" x14ac:dyDescent="0.25">
      <c r="A54" t="s">
        <v>62</v>
      </c>
      <c r="B54" s="4">
        <v>45402</v>
      </c>
      <c r="C54" t="s">
        <v>459</v>
      </c>
      <c r="D54" t="s">
        <v>549</v>
      </c>
      <c r="E54" t="s">
        <v>556</v>
      </c>
      <c r="F54" t="s">
        <v>568</v>
      </c>
      <c r="G54">
        <v>3</v>
      </c>
      <c r="H54">
        <v>3615</v>
      </c>
      <c r="I54">
        <v>10845</v>
      </c>
      <c r="J54" s="7">
        <v>2521.5500000000002</v>
      </c>
      <c r="K54">
        <f>Table1_1[[#This Row],[Sales]]/Table1_1[[#This Row],[Profit2]]*100</f>
        <v>430.09260177271915</v>
      </c>
    </row>
    <row r="55" spans="1:11" x14ac:dyDescent="0.25">
      <c r="A55" t="s">
        <v>63</v>
      </c>
      <c r="B55" s="4">
        <v>45529</v>
      </c>
      <c r="C55" t="s">
        <v>460</v>
      </c>
      <c r="D55" t="s">
        <v>550</v>
      </c>
      <c r="E55" t="s">
        <v>556</v>
      </c>
      <c r="F55" t="s">
        <v>561</v>
      </c>
      <c r="G55">
        <v>7</v>
      </c>
      <c r="H55">
        <v>210</v>
      </c>
      <c r="I55">
        <v>1470</v>
      </c>
      <c r="J55" s="7">
        <v>235.38</v>
      </c>
      <c r="K55">
        <f>Table1_1[[#This Row],[Sales]]/Table1_1[[#This Row],[Profit2]]*100</f>
        <v>624.52204945195012</v>
      </c>
    </row>
    <row r="56" spans="1:11" x14ac:dyDescent="0.25">
      <c r="A56" t="s">
        <v>64</v>
      </c>
      <c r="B56" s="4">
        <v>45335</v>
      </c>
      <c r="C56" t="s">
        <v>461</v>
      </c>
      <c r="D56" t="s">
        <v>549</v>
      </c>
      <c r="E56" t="s">
        <v>555</v>
      </c>
      <c r="F56" t="s">
        <v>575</v>
      </c>
      <c r="G56">
        <v>3</v>
      </c>
      <c r="H56">
        <v>2068</v>
      </c>
      <c r="I56">
        <v>6204</v>
      </c>
      <c r="J56" s="7">
        <v>2283.9</v>
      </c>
      <c r="K56">
        <f>Table1_1[[#This Row],[Sales]]/Table1_1[[#This Row],[Profit2]]*100</f>
        <v>271.64061473794823</v>
      </c>
    </row>
    <row r="57" spans="1:11" x14ac:dyDescent="0.25">
      <c r="A57" t="s">
        <v>65</v>
      </c>
      <c r="B57" s="4">
        <v>45632</v>
      </c>
      <c r="C57" t="s">
        <v>462</v>
      </c>
      <c r="D57" t="s">
        <v>550</v>
      </c>
      <c r="E57" t="s">
        <v>554</v>
      </c>
      <c r="F57" t="s">
        <v>574</v>
      </c>
      <c r="G57">
        <v>8</v>
      </c>
      <c r="H57">
        <v>1084</v>
      </c>
      <c r="I57">
        <v>8672</v>
      </c>
      <c r="J57" s="7">
        <v>1013.79</v>
      </c>
      <c r="K57">
        <f>Table1_1[[#This Row],[Sales]]/Table1_1[[#This Row],[Profit2]]*100</f>
        <v>855.40397912782726</v>
      </c>
    </row>
    <row r="58" spans="1:11" x14ac:dyDescent="0.25">
      <c r="A58" t="s">
        <v>66</v>
      </c>
      <c r="B58" s="4">
        <v>45325</v>
      </c>
      <c r="C58" t="s">
        <v>463</v>
      </c>
      <c r="D58" t="s">
        <v>550</v>
      </c>
      <c r="E58" t="s">
        <v>556</v>
      </c>
      <c r="F58" t="s">
        <v>569</v>
      </c>
      <c r="G58">
        <v>4</v>
      </c>
      <c r="H58">
        <v>3764</v>
      </c>
      <c r="I58">
        <v>15056</v>
      </c>
      <c r="J58" s="7">
        <v>2889.74</v>
      </c>
      <c r="K58">
        <f>Table1_1[[#This Row],[Sales]]/Table1_1[[#This Row],[Profit2]]*100</f>
        <v>521.01573151909872</v>
      </c>
    </row>
    <row r="59" spans="1:11" x14ac:dyDescent="0.25">
      <c r="A59" t="s">
        <v>67</v>
      </c>
      <c r="B59" s="4">
        <v>45441</v>
      </c>
      <c r="C59" t="s">
        <v>464</v>
      </c>
      <c r="D59" t="s">
        <v>551</v>
      </c>
      <c r="E59" t="s">
        <v>553</v>
      </c>
      <c r="F59" t="s">
        <v>560</v>
      </c>
      <c r="G59">
        <v>1</v>
      </c>
      <c r="H59">
        <v>1589</v>
      </c>
      <c r="I59">
        <v>1589</v>
      </c>
      <c r="J59" s="7">
        <v>231.33</v>
      </c>
      <c r="K59">
        <f>Table1_1[[#This Row],[Sales]]/Table1_1[[#This Row],[Profit2]]*100</f>
        <v>686.89750572774824</v>
      </c>
    </row>
    <row r="60" spans="1:11" x14ac:dyDescent="0.25">
      <c r="A60" t="s">
        <v>68</v>
      </c>
      <c r="B60" s="4">
        <v>45573</v>
      </c>
      <c r="C60" t="s">
        <v>428</v>
      </c>
      <c r="D60" t="s">
        <v>549</v>
      </c>
      <c r="E60" t="s">
        <v>554</v>
      </c>
      <c r="F60" t="s">
        <v>572</v>
      </c>
      <c r="G60">
        <v>4</v>
      </c>
      <c r="H60">
        <v>3601</v>
      </c>
      <c r="I60">
        <v>14404</v>
      </c>
      <c r="J60" s="7">
        <v>1880.42</v>
      </c>
      <c r="K60">
        <f>Table1_1[[#This Row],[Sales]]/Table1_1[[#This Row],[Profit2]]*100</f>
        <v>765.99908531072845</v>
      </c>
    </row>
    <row r="61" spans="1:11" x14ac:dyDescent="0.25">
      <c r="A61" t="s">
        <v>69</v>
      </c>
      <c r="B61" s="4">
        <v>45449</v>
      </c>
      <c r="C61" t="s">
        <v>465</v>
      </c>
      <c r="D61" t="s">
        <v>551</v>
      </c>
      <c r="E61" t="s">
        <v>554</v>
      </c>
      <c r="F61" t="s">
        <v>573</v>
      </c>
      <c r="G61">
        <v>7</v>
      </c>
      <c r="H61">
        <v>4521</v>
      </c>
      <c r="I61">
        <v>31647</v>
      </c>
      <c r="J61" s="7">
        <v>3211.92</v>
      </c>
      <c r="K61">
        <f>Table1_1[[#This Row],[Sales]]/Table1_1[[#This Row],[Profit2]]*100</f>
        <v>985.29851303892997</v>
      </c>
    </row>
    <row r="62" spans="1:11" x14ac:dyDescent="0.25">
      <c r="A62" t="s">
        <v>70</v>
      </c>
      <c r="B62" s="4">
        <v>45496</v>
      </c>
      <c r="C62" t="s">
        <v>466</v>
      </c>
      <c r="D62" t="s">
        <v>549</v>
      </c>
      <c r="E62" t="s">
        <v>556</v>
      </c>
      <c r="F62" t="s">
        <v>569</v>
      </c>
      <c r="G62">
        <v>4</v>
      </c>
      <c r="H62">
        <v>1024</v>
      </c>
      <c r="I62">
        <v>4096</v>
      </c>
      <c r="J62" s="7">
        <v>1028.72</v>
      </c>
      <c r="K62">
        <f>Table1_1[[#This Row],[Sales]]/Table1_1[[#This Row],[Profit2]]*100</f>
        <v>398.16470954195501</v>
      </c>
    </row>
    <row r="63" spans="1:11" x14ac:dyDescent="0.25">
      <c r="A63" t="s">
        <v>71</v>
      </c>
      <c r="B63" s="4">
        <v>45439</v>
      </c>
      <c r="C63" t="s">
        <v>467</v>
      </c>
      <c r="D63" t="s">
        <v>549</v>
      </c>
      <c r="E63" t="s">
        <v>555</v>
      </c>
      <c r="F63" t="s">
        <v>567</v>
      </c>
      <c r="G63">
        <v>6</v>
      </c>
      <c r="H63">
        <v>2465</v>
      </c>
      <c r="I63">
        <v>14790</v>
      </c>
      <c r="J63" s="7">
        <v>4900.7700000000004</v>
      </c>
      <c r="K63">
        <f>Table1_1[[#This Row],[Sales]]/Table1_1[[#This Row],[Profit2]]*100</f>
        <v>301.78931065934535</v>
      </c>
    </row>
    <row r="64" spans="1:11" x14ac:dyDescent="0.25">
      <c r="A64" t="s">
        <v>72</v>
      </c>
      <c r="B64" s="4">
        <v>45522</v>
      </c>
      <c r="C64" t="s">
        <v>454</v>
      </c>
      <c r="D64" t="s">
        <v>551</v>
      </c>
      <c r="E64" t="s">
        <v>556</v>
      </c>
      <c r="F64" t="s">
        <v>563</v>
      </c>
      <c r="G64">
        <v>9</v>
      </c>
      <c r="H64">
        <v>1136</v>
      </c>
      <c r="I64">
        <v>10224</v>
      </c>
      <c r="J64" s="7">
        <v>1335.28</v>
      </c>
      <c r="K64">
        <f>Table1_1[[#This Row],[Sales]]/Table1_1[[#This Row],[Profit2]]*100</f>
        <v>765.68210412797316</v>
      </c>
    </row>
    <row r="65" spans="1:11" x14ac:dyDescent="0.25">
      <c r="A65" t="s">
        <v>73</v>
      </c>
      <c r="B65" s="4">
        <v>45562</v>
      </c>
      <c r="C65" t="s">
        <v>420</v>
      </c>
      <c r="D65" t="s">
        <v>551</v>
      </c>
      <c r="E65" t="s">
        <v>555</v>
      </c>
      <c r="F65" t="s">
        <v>567</v>
      </c>
      <c r="G65">
        <v>1</v>
      </c>
      <c r="H65">
        <v>3000</v>
      </c>
      <c r="I65">
        <v>3000</v>
      </c>
      <c r="J65" s="7">
        <v>585.42999999999995</v>
      </c>
      <c r="K65">
        <f>Table1_1[[#This Row],[Sales]]/Table1_1[[#This Row],[Profit2]]*100</f>
        <v>512.44384469535214</v>
      </c>
    </row>
    <row r="66" spans="1:11" x14ac:dyDescent="0.25">
      <c r="A66" t="s">
        <v>74</v>
      </c>
      <c r="B66" s="4">
        <v>45596</v>
      </c>
      <c r="C66" t="s">
        <v>411</v>
      </c>
      <c r="D66" t="s">
        <v>549</v>
      </c>
      <c r="E66" t="s">
        <v>553</v>
      </c>
      <c r="F66" t="s">
        <v>557</v>
      </c>
      <c r="G66">
        <v>5</v>
      </c>
      <c r="H66">
        <v>2753</v>
      </c>
      <c r="I66">
        <v>13765</v>
      </c>
      <c r="J66" s="7">
        <v>3500.73</v>
      </c>
      <c r="K66">
        <f>Table1_1[[#This Row],[Sales]]/Table1_1[[#This Row],[Profit2]]*100</f>
        <v>393.20370322761249</v>
      </c>
    </row>
    <row r="67" spans="1:11" x14ac:dyDescent="0.25">
      <c r="A67" t="s">
        <v>75</v>
      </c>
      <c r="B67" s="4">
        <v>45626</v>
      </c>
      <c r="C67" t="s">
        <v>468</v>
      </c>
      <c r="D67" t="s">
        <v>552</v>
      </c>
      <c r="E67" t="s">
        <v>554</v>
      </c>
      <c r="F67" t="s">
        <v>572</v>
      </c>
      <c r="G67">
        <v>7</v>
      </c>
      <c r="H67">
        <v>4045</v>
      </c>
      <c r="I67">
        <v>28315</v>
      </c>
      <c r="J67" s="7">
        <v>3787.94</v>
      </c>
      <c r="K67">
        <f>Table1_1[[#This Row],[Sales]]/Table1_1[[#This Row],[Profit2]]*100</f>
        <v>747.50392033664741</v>
      </c>
    </row>
    <row r="68" spans="1:11" x14ac:dyDescent="0.25">
      <c r="A68" t="s">
        <v>76</v>
      </c>
      <c r="B68" s="4">
        <v>45445</v>
      </c>
      <c r="C68" t="s">
        <v>451</v>
      </c>
      <c r="D68" t="s">
        <v>550</v>
      </c>
      <c r="E68" t="s">
        <v>553</v>
      </c>
      <c r="F68" t="s">
        <v>576</v>
      </c>
      <c r="G68">
        <v>1</v>
      </c>
      <c r="H68">
        <v>1996</v>
      </c>
      <c r="I68">
        <v>1996</v>
      </c>
      <c r="J68" s="7">
        <v>384.83</v>
      </c>
      <c r="K68">
        <f>Table1_1[[#This Row],[Sales]]/Table1_1[[#This Row],[Profit2]]*100</f>
        <v>518.67058181534708</v>
      </c>
    </row>
    <row r="69" spans="1:11" x14ac:dyDescent="0.25">
      <c r="A69" t="s">
        <v>77</v>
      </c>
      <c r="B69" s="4">
        <v>45353</v>
      </c>
      <c r="C69" t="s">
        <v>469</v>
      </c>
      <c r="D69" t="s">
        <v>551</v>
      </c>
      <c r="E69" t="s">
        <v>555</v>
      </c>
      <c r="F69" t="s">
        <v>559</v>
      </c>
      <c r="G69">
        <v>4</v>
      </c>
      <c r="H69">
        <v>253</v>
      </c>
      <c r="I69">
        <v>1012</v>
      </c>
      <c r="J69" s="7">
        <v>345.93</v>
      </c>
      <c r="K69">
        <f>Table1_1[[#This Row],[Sales]]/Table1_1[[#This Row],[Profit2]]*100</f>
        <v>292.54473448385511</v>
      </c>
    </row>
    <row r="70" spans="1:11" x14ac:dyDescent="0.25">
      <c r="A70" t="s">
        <v>78</v>
      </c>
      <c r="B70" s="4">
        <v>45545</v>
      </c>
      <c r="C70" t="s">
        <v>470</v>
      </c>
      <c r="D70" t="s">
        <v>550</v>
      </c>
      <c r="E70" t="s">
        <v>555</v>
      </c>
      <c r="F70" t="s">
        <v>559</v>
      </c>
      <c r="G70">
        <v>6</v>
      </c>
      <c r="H70">
        <v>926</v>
      </c>
      <c r="I70">
        <v>5556</v>
      </c>
      <c r="J70" s="7">
        <v>2028.9</v>
      </c>
      <c r="K70">
        <f>Table1_1[[#This Row],[Sales]]/Table1_1[[#This Row],[Profit2]]*100</f>
        <v>273.84296909655478</v>
      </c>
    </row>
    <row r="71" spans="1:11" x14ac:dyDescent="0.25">
      <c r="A71" t="s">
        <v>79</v>
      </c>
      <c r="B71" s="4">
        <v>45305</v>
      </c>
      <c r="C71" t="s">
        <v>471</v>
      </c>
      <c r="D71" t="s">
        <v>552</v>
      </c>
      <c r="E71" t="s">
        <v>553</v>
      </c>
      <c r="F71" t="s">
        <v>562</v>
      </c>
      <c r="G71">
        <v>2</v>
      </c>
      <c r="H71">
        <v>2936</v>
      </c>
      <c r="I71">
        <v>5872</v>
      </c>
      <c r="J71" s="7">
        <v>1490.02</v>
      </c>
      <c r="K71">
        <f>Table1_1[[#This Row],[Sales]]/Table1_1[[#This Row],[Profit2]]*100</f>
        <v>394.0886699507389</v>
      </c>
    </row>
    <row r="72" spans="1:11" x14ac:dyDescent="0.25">
      <c r="A72" t="s">
        <v>80</v>
      </c>
      <c r="B72" s="4">
        <v>45340</v>
      </c>
      <c r="C72" t="s">
        <v>436</v>
      </c>
      <c r="D72" t="s">
        <v>552</v>
      </c>
      <c r="E72" t="s">
        <v>555</v>
      </c>
      <c r="F72" t="s">
        <v>570</v>
      </c>
      <c r="G72">
        <v>5</v>
      </c>
      <c r="H72">
        <v>3370</v>
      </c>
      <c r="I72">
        <v>16850</v>
      </c>
      <c r="J72" s="7">
        <v>5347.41</v>
      </c>
      <c r="K72">
        <f>Table1_1[[#This Row],[Sales]]/Table1_1[[#This Row],[Profit2]]*100</f>
        <v>315.10581758271763</v>
      </c>
    </row>
    <row r="73" spans="1:11" x14ac:dyDescent="0.25">
      <c r="A73" t="s">
        <v>81</v>
      </c>
      <c r="B73" s="4">
        <v>45627</v>
      </c>
      <c r="C73" t="s">
        <v>472</v>
      </c>
      <c r="D73" t="s">
        <v>552</v>
      </c>
      <c r="E73" t="s">
        <v>553</v>
      </c>
      <c r="F73" t="s">
        <v>576</v>
      </c>
      <c r="G73">
        <v>1</v>
      </c>
      <c r="H73">
        <v>2113</v>
      </c>
      <c r="I73">
        <v>2113</v>
      </c>
      <c r="J73" s="7">
        <v>567.16999999999996</v>
      </c>
      <c r="K73">
        <f>Table1_1[[#This Row],[Sales]]/Table1_1[[#This Row],[Profit2]]*100</f>
        <v>372.5514396036462</v>
      </c>
    </row>
    <row r="74" spans="1:11" x14ac:dyDescent="0.25">
      <c r="A74" t="s">
        <v>82</v>
      </c>
      <c r="B74" s="4">
        <v>45341</v>
      </c>
      <c r="C74" t="s">
        <v>473</v>
      </c>
      <c r="D74" t="s">
        <v>551</v>
      </c>
      <c r="E74" t="s">
        <v>554</v>
      </c>
      <c r="F74" t="s">
        <v>573</v>
      </c>
      <c r="G74">
        <v>6</v>
      </c>
      <c r="H74">
        <v>1796</v>
      </c>
      <c r="I74">
        <v>10776</v>
      </c>
      <c r="J74" s="7">
        <v>3345.25</v>
      </c>
      <c r="K74">
        <f>Table1_1[[#This Row],[Sales]]/Table1_1[[#This Row],[Profit2]]*100</f>
        <v>322.12839100216723</v>
      </c>
    </row>
    <row r="75" spans="1:11" x14ac:dyDescent="0.25">
      <c r="A75" t="s">
        <v>83</v>
      </c>
      <c r="B75" s="4">
        <v>45396</v>
      </c>
      <c r="C75" t="s">
        <v>474</v>
      </c>
      <c r="D75" t="s">
        <v>552</v>
      </c>
      <c r="E75" t="s">
        <v>553</v>
      </c>
      <c r="F75" t="s">
        <v>571</v>
      </c>
      <c r="G75">
        <v>6</v>
      </c>
      <c r="H75">
        <v>2114</v>
      </c>
      <c r="I75">
        <v>12684</v>
      </c>
      <c r="J75" s="7">
        <v>2085</v>
      </c>
      <c r="K75">
        <f>Table1_1[[#This Row],[Sales]]/Table1_1[[#This Row],[Profit2]]*100</f>
        <v>608.34532374100718</v>
      </c>
    </row>
    <row r="76" spans="1:11" x14ac:dyDescent="0.25">
      <c r="A76" t="s">
        <v>84</v>
      </c>
      <c r="B76" s="4">
        <v>45647</v>
      </c>
      <c r="C76" t="s">
        <v>475</v>
      </c>
      <c r="D76" t="s">
        <v>551</v>
      </c>
      <c r="E76" t="s">
        <v>554</v>
      </c>
      <c r="F76" t="s">
        <v>574</v>
      </c>
      <c r="G76">
        <v>4</v>
      </c>
      <c r="H76">
        <v>2666</v>
      </c>
      <c r="I76">
        <v>10664</v>
      </c>
      <c r="J76" s="7">
        <v>3030.04</v>
      </c>
      <c r="K76">
        <f>Table1_1[[#This Row],[Sales]]/Table1_1[[#This Row],[Profit2]]*100</f>
        <v>351.94254861321963</v>
      </c>
    </row>
    <row r="77" spans="1:11" x14ac:dyDescent="0.25">
      <c r="A77" t="s">
        <v>85</v>
      </c>
      <c r="B77" s="4">
        <v>45450</v>
      </c>
      <c r="C77" t="s">
        <v>416</v>
      </c>
      <c r="D77" t="s">
        <v>552</v>
      </c>
      <c r="E77" t="s">
        <v>553</v>
      </c>
      <c r="F77" t="s">
        <v>562</v>
      </c>
      <c r="G77">
        <v>8</v>
      </c>
      <c r="H77">
        <v>2937</v>
      </c>
      <c r="I77">
        <v>23496</v>
      </c>
      <c r="J77" s="7">
        <v>7770.51</v>
      </c>
      <c r="K77">
        <f>Table1_1[[#This Row],[Sales]]/Table1_1[[#This Row],[Profit2]]*100</f>
        <v>302.37397545334863</v>
      </c>
    </row>
    <row r="78" spans="1:11" x14ac:dyDescent="0.25">
      <c r="A78" t="s">
        <v>86</v>
      </c>
      <c r="B78" s="4">
        <v>45580</v>
      </c>
      <c r="C78" t="s">
        <v>476</v>
      </c>
      <c r="D78" t="s">
        <v>550</v>
      </c>
      <c r="E78" t="s">
        <v>555</v>
      </c>
      <c r="F78" t="s">
        <v>566</v>
      </c>
      <c r="G78">
        <v>4</v>
      </c>
      <c r="H78">
        <v>1049</v>
      </c>
      <c r="I78">
        <v>4196</v>
      </c>
      <c r="J78" s="7">
        <v>1404.95</v>
      </c>
      <c r="K78">
        <f>Table1_1[[#This Row],[Sales]]/Table1_1[[#This Row],[Profit2]]*100</f>
        <v>298.65831524253531</v>
      </c>
    </row>
    <row r="79" spans="1:11" x14ac:dyDescent="0.25">
      <c r="A79" t="s">
        <v>87</v>
      </c>
      <c r="B79" s="4">
        <v>45414</v>
      </c>
      <c r="C79" t="s">
        <v>477</v>
      </c>
      <c r="D79" t="s">
        <v>550</v>
      </c>
      <c r="E79" t="s">
        <v>553</v>
      </c>
      <c r="F79" t="s">
        <v>560</v>
      </c>
      <c r="G79">
        <v>8</v>
      </c>
      <c r="H79">
        <v>2309</v>
      </c>
      <c r="I79">
        <v>18472</v>
      </c>
      <c r="J79" s="7">
        <v>1999.69</v>
      </c>
      <c r="K79">
        <f>Table1_1[[#This Row],[Sales]]/Table1_1[[#This Row],[Profit2]]*100</f>
        <v>923.74318019292991</v>
      </c>
    </row>
    <row r="80" spans="1:11" x14ac:dyDescent="0.25">
      <c r="A80" t="s">
        <v>88</v>
      </c>
      <c r="B80" s="4">
        <v>45617</v>
      </c>
      <c r="C80" t="s">
        <v>478</v>
      </c>
      <c r="D80" t="s">
        <v>549</v>
      </c>
      <c r="E80" t="s">
        <v>555</v>
      </c>
      <c r="F80" t="s">
        <v>570</v>
      </c>
      <c r="G80">
        <v>8</v>
      </c>
      <c r="H80">
        <v>202</v>
      </c>
      <c r="I80">
        <v>1616</v>
      </c>
      <c r="J80" s="7">
        <v>621.01</v>
      </c>
      <c r="K80">
        <f>Table1_1[[#This Row],[Sales]]/Table1_1[[#This Row],[Profit2]]*100</f>
        <v>260.22125247580556</v>
      </c>
    </row>
    <row r="81" spans="1:11" x14ac:dyDescent="0.25">
      <c r="A81" t="s">
        <v>89</v>
      </c>
      <c r="B81" s="4">
        <v>45297</v>
      </c>
      <c r="C81" t="s">
        <v>479</v>
      </c>
      <c r="D81" t="s">
        <v>550</v>
      </c>
      <c r="E81" t="s">
        <v>553</v>
      </c>
      <c r="F81" t="s">
        <v>571</v>
      </c>
      <c r="G81">
        <v>5</v>
      </c>
      <c r="H81">
        <v>4455</v>
      </c>
      <c r="I81">
        <v>22275</v>
      </c>
      <c r="J81" s="7">
        <v>8210.09</v>
      </c>
      <c r="K81">
        <f>Table1_1[[#This Row],[Sales]]/Table1_1[[#This Row],[Profit2]]*100</f>
        <v>271.31249474731703</v>
      </c>
    </row>
    <row r="82" spans="1:11" x14ac:dyDescent="0.25">
      <c r="A82" t="s">
        <v>90</v>
      </c>
      <c r="B82" s="4">
        <v>45435</v>
      </c>
      <c r="C82" t="s">
        <v>446</v>
      </c>
      <c r="D82" t="s">
        <v>549</v>
      </c>
      <c r="E82" t="s">
        <v>553</v>
      </c>
      <c r="F82" t="s">
        <v>576</v>
      </c>
      <c r="G82">
        <v>4</v>
      </c>
      <c r="H82">
        <v>4269</v>
      </c>
      <c r="I82">
        <v>17076</v>
      </c>
      <c r="J82" s="7">
        <v>4643.13</v>
      </c>
      <c r="K82">
        <f>Table1_1[[#This Row],[Sales]]/Table1_1[[#This Row],[Profit2]]*100</f>
        <v>367.76915572038689</v>
      </c>
    </row>
    <row r="83" spans="1:11" x14ac:dyDescent="0.25">
      <c r="A83" t="s">
        <v>91</v>
      </c>
      <c r="B83" s="4">
        <v>45551</v>
      </c>
      <c r="C83" t="s">
        <v>429</v>
      </c>
      <c r="D83" t="s">
        <v>550</v>
      </c>
      <c r="E83" t="s">
        <v>556</v>
      </c>
      <c r="F83" t="s">
        <v>568</v>
      </c>
      <c r="G83">
        <v>2</v>
      </c>
      <c r="H83">
        <v>1092</v>
      </c>
      <c r="I83">
        <v>2184</v>
      </c>
      <c r="J83" s="7">
        <v>623.46</v>
      </c>
      <c r="K83">
        <f>Table1_1[[#This Row],[Sales]]/Table1_1[[#This Row],[Profit2]]*100</f>
        <v>350.30314695409487</v>
      </c>
    </row>
    <row r="84" spans="1:11" x14ac:dyDescent="0.25">
      <c r="A84" t="s">
        <v>92</v>
      </c>
      <c r="B84" s="4">
        <v>45359</v>
      </c>
      <c r="C84" t="s">
        <v>418</v>
      </c>
      <c r="D84" t="s">
        <v>551</v>
      </c>
      <c r="E84" t="s">
        <v>555</v>
      </c>
      <c r="F84" t="s">
        <v>559</v>
      </c>
      <c r="G84">
        <v>3</v>
      </c>
      <c r="H84">
        <v>2230</v>
      </c>
      <c r="I84">
        <v>6690</v>
      </c>
      <c r="J84" s="7">
        <v>1558.93</v>
      </c>
      <c r="K84">
        <f>Table1_1[[#This Row],[Sales]]/Table1_1[[#This Row],[Profit2]]*100</f>
        <v>429.14050021489095</v>
      </c>
    </row>
    <row r="85" spans="1:11" x14ac:dyDescent="0.25">
      <c r="A85" t="s">
        <v>93</v>
      </c>
      <c r="B85" s="4">
        <v>45322</v>
      </c>
      <c r="C85" t="s">
        <v>480</v>
      </c>
      <c r="D85" t="s">
        <v>550</v>
      </c>
      <c r="E85" t="s">
        <v>556</v>
      </c>
      <c r="F85" t="s">
        <v>563</v>
      </c>
      <c r="G85">
        <v>3</v>
      </c>
      <c r="H85">
        <v>3360</v>
      </c>
      <c r="I85">
        <v>10080</v>
      </c>
      <c r="J85" s="7">
        <v>2454.44</v>
      </c>
      <c r="K85">
        <f>Table1_1[[#This Row],[Sales]]/Table1_1[[#This Row],[Profit2]]*100</f>
        <v>410.68431088150453</v>
      </c>
    </row>
    <row r="86" spans="1:11" x14ac:dyDescent="0.25">
      <c r="A86" t="s">
        <v>94</v>
      </c>
      <c r="B86" s="4">
        <v>45457</v>
      </c>
      <c r="C86" t="s">
        <v>481</v>
      </c>
      <c r="D86" t="s">
        <v>549</v>
      </c>
      <c r="E86" t="s">
        <v>555</v>
      </c>
      <c r="F86" t="s">
        <v>570</v>
      </c>
      <c r="G86">
        <v>4</v>
      </c>
      <c r="H86">
        <v>2576</v>
      </c>
      <c r="I86">
        <v>10304</v>
      </c>
      <c r="J86" s="7">
        <v>2756.26</v>
      </c>
      <c r="K86">
        <f>Table1_1[[#This Row],[Sales]]/Table1_1[[#This Row],[Profit2]]*100</f>
        <v>373.83991350598274</v>
      </c>
    </row>
    <row r="87" spans="1:11" x14ac:dyDescent="0.25">
      <c r="A87" t="s">
        <v>95</v>
      </c>
      <c r="B87" s="4">
        <v>45568</v>
      </c>
      <c r="C87" t="s">
        <v>480</v>
      </c>
      <c r="D87" t="s">
        <v>549</v>
      </c>
      <c r="E87" t="s">
        <v>556</v>
      </c>
      <c r="F87" t="s">
        <v>565</v>
      </c>
      <c r="G87">
        <v>4</v>
      </c>
      <c r="H87">
        <v>4875</v>
      </c>
      <c r="I87">
        <v>19500</v>
      </c>
      <c r="J87" s="7">
        <v>7271.19</v>
      </c>
      <c r="K87">
        <f>Table1_1[[#This Row],[Sales]]/Table1_1[[#This Row],[Profit2]]*100</f>
        <v>268.18168690406935</v>
      </c>
    </row>
    <row r="88" spans="1:11" x14ac:dyDescent="0.25">
      <c r="A88" t="s">
        <v>96</v>
      </c>
      <c r="B88" s="4">
        <v>45480</v>
      </c>
      <c r="C88" t="s">
        <v>432</v>
      </c>
      <c r="D88" t="s">
        <v>552</v>
      </c>
      <c r="E88" t="s">
        <v>554</v>
      </c>
      <c r="F88" t="s">
        <v>558</v>
      </c>
      <c r="G88">
        <v>5</v>
      </c>
      <c r="H88">
        <v>2133</v>
      </c>
      <c r="I88">
        <v>10665</v>
      </c>
      <c r="J88" s="7">
        <v>2416.23</v>
      </c>
      <c r="K88">
        <f>Table1_1[[#This Row],[Sales]]/Table1_1[[#This Row],[Profit2]]*100</f>
        <v>441.39009945245277</v>
      </c>
    </row>
    <row r="89" spans="1:11" x14ac:dyDescent="0.25">
      <c r="A89" t="s">
        <v>97</v>
      </c>
      <c r="B89" s="4">
        <v>45352</v>
      </c>
      <c r="C89" t="s">
        <v>482</v>
      </c>
      <c r="D89" t="s">
        <v>551</v>
      </c>
      <c r="E89" t="s">
        <v>553</v>
      </c>
      <c r="F89" t="s">
        <v>562</v>
      </c>
      <c r="G89">
        <v>4</v>
      </c>
      <c r="H89">
        <v>1580</v>
      </c>
      <c r="I89">
        <v>6320</v>
      </c>
      <c r="J89" s="7">
        <v>1931.39</v>
      </c>
      <c r="K89">
        <f>Table1_1[[#This Row],[Sales]]/Table1_1[[#This Row],[Profit2]]*100</f>
        <v>327.22546973941047</v>
      </c>
    </row>
    <row r="90" spans="1:11" x14ac:dyDescent="0.25">
      <c r="A90" t="s">
        <v>98</v>
      </c>
      <c r="B90" s="4">
        <v>45524</v>
      </c>
      <c r="C90" t="s">
        <v>434</v>
      </c>
      <c r="D90" t="s">
        <v>550</v>
      </c>
      <c r="E90" t="s">
        <v>555</v>
      </c>
      <c r="F90" t="s">
        <v>570</v>
      </c>
      <c r="G90">
        <v>8</v>
      </c>
      <c r="H90">
        <v>3881</v>
      </c>
      <c r="I90">
        <v>31048</v>
      </c>
      <c r="J90" s="7">
        <v>9687.61</v>
      </c>
      <c r="K90">
        <f>Table1_1[[#This Row],[Sales]]/Table1_1[[#This Row],[Profit2]]*100</f>
        <v>320.49184473776296</v>
      </c>
    </row>
    <row r="91" spans="1:11" x14ac:dyDescent="0.25">
      <c r="A91" t="s">
        <v>99</v>
      </c>
      <c r="B91" s="4">
        <v>45517</v>
      </c>
      <c r="C91" t="s">
        <v>470</v>
      </c>
      <c r="D91" t="s">
        <v>552</v>
      </c>
      <c r="E91" t="s">
        <v>555</v>
      </c>
      <c r="F91" t="s">
        <v>559</v>
      </c>
      <c r="G91">
        <v>6</v>
      </c>
      <c r="H91">
        <v>1490</v>
      </c>
      <c r="I91">
        <v>8940</v>
      </c>
      <c r="J91" s="7">
        <v>3154.25</v>
      </c>
      <c r="K91">
        <f>Table1_1[[#This Row],[Sales]]/Table1_1[[#This Row],[Profit2]]*100</f>
        <v>283.4271221367996</v>
      </c>
    </row>
    <row r="92" spans="1:11" x14ac:dyDescent="0.25">
      <c r="A92" t="s">
        <v>100</v>
      </c>
      <c r="B92" s="4">
        <v>45480</v>
      </c>
      <c r="C92" t="s">
        <v>483</v>
      </c>
      <c r="D92" t="s">
        <v>550</v>
      </c>
      <c r="E92" t="s">
        <v>553</v>
      </c>
      <c r="F92" t="s">
        <v>557</v>
      </c>
      <c r="G92">
        <v>6</v>
      </c>
      <c r="H92">
        <v>1840</v>
      </c>
      <c r="I92">
        <v>11040</v>
      </c>
      <c r="J92" s="7">
        <v>1199.3499999999999</v>
      </c>
      <c r="K92">
        <f>Table1_1[[#This Row],[Sales]]/Table1_1[[#This Row],[Profit2]]*100</f>
        <v>920.49860341018052</v>
      </c>
    </row>
    <row r="93" spans="1:11" x14ac:dyDescent="0.25">
      <c r="A93" t="s">
        <v>101</v>
      </c>
      <c r="B93" s="4">
        <v>45416</v>
      </c>
      <c r="C93" t="s">
        <v>420</v>
      </c>
      <c r="D93" t="s">
        <v>550</v>
      </c>
      <c r="E93" t="s">
        <v>555</v>
      </c>
      <c r="F93" t="s">
        <v>559</v>
      </c>
      <c r="G93">
        <v>8</v>
      </c>
      <c r="H93">
        <v>2882</v>
      </c>
      <c r="I93">
        <v>23056</v>
      </c>
      <c r="J93" s="7">
        <v>4700.67</v>
      </c>
      <c r="K93">
        <f>Table1_1[[#This Row],[Sales]]/Table1_1[[#This Row],[Profit2]]*100</f>
        <v>490.48327153363243</v>
      </c>
    </row>
    <row r="94" spans="1:11" x14ac:dyDescent="0.25">
      <c r="A94" t="s">
        <v>102</v>
      </c>
      <c r="B94" s="4">
        <v>45629</v>
      </c>
      <c r="C94" t="s">
        <v>484</v>
      </c>
      <c r="D94" t="s">
        <v>552</v>
      </c>
      <c r="E94" t="s">
        <v>555</v>
      </c>
      <c r="F94" t="s">
        <v>567</v>
      </c>
      <c r="G94">
        <v>7</v>
      </c>
      <c r="H94">
        <v>1187</v>
      </c>
      <c r="I94">
        <v>8309</v>
      </c>
      <c r="J94" s="7">
        <v>1840.92</v>
      </c>
      <c r="K94">
        <f>Table1_1[[#This Row],[Sales]]/Table1_1[[#This Row],[Profit2]]*100</f>
        <v>451.35041175064646</v>
      </c>
    </row>
    <row r="95" spans="1:11" x14ac:dyDescent="0.25">
      <c r="A95" t="s">
        <v>103</v>
      </c>
      <c r="B95" s="4">
        <v>45492</v>
      </c>
      <c r="C95" t="s">
        <v>479</v>
      </c>
      <c r="D95" t="s">
        <v>552</v>
      </c>
      <c r="E95" t="s">
        <v>556</v>
      </c>
      <c r="F95" t="s">
        <v>565</v>
      </c>
      <c r="G95">
        <v>8</v>
      </c>
      <c r="H95">
        <v>1418</v>
      </c>
      <c r="I95">
        <v>11344</v>
      </c>
      <c r="J95" s="7">
        <v>2004.78</v>
      </c>
      <c r="K95">
        <f>Table1_1[[#This Row],[Sales]]/Table1_1[[#This Row],[Profit2]]*100</f>
        <v>565.84762417821401</v>
      </c>
    </row>
    <row r="96" spans="1:11" x14ac:dyDescent="0.25">
      <c r="A96" t="s">
        <v>104</v>
      </c>
      <c r="B96" s="4">
        <v>45348</v>
      </c>
      <c r="C96" t="s">
        <v>485</v>
      </c>
      <c r="D96" t="s">
        <v>552</v>
      </c>
      <c r="E96" t="s">
        <v>555</v>
      </c>
      <c r="F96" t="s">
        <v>567</v>
      </c>
      <c r="G96">
        <v>2</v>
      </c>
      <c r="H96">
        <v>1555</v>
      </c>
      <c r="I96">
        <v>3110</v>
      </c>
      <c r="J96" s="7">
        <v>1203.57</v>
      </c>
      <c r="K96">
        <f>Table1_1[[#This Row],[Sales]]/Table1_1[[#This Row],[Profit2]]*100</f>
        <v>258.39793281653749</v>
      </c>
    </row>
    <row r="97" spans="1:11" x14ac:dyDescent="0.25">
      <c r="A97" t="s">
        <v>105</v>
      </c>
      <c r="B97" s="4">
        <v>45558</v>
      </c>
      <c r="C97" t="s">
        <v>412</v>
      </c>
      <c r="D97" t="s">
        <v>552</v>
      </c>
      <c r="E97" t="s">
        <v>554</v>
      </c>
      <c r="F97" t="s">
        <v>572</v>
      </c>
      <c r="G97">
        <v>9</v>
      </c>
      <c r="H97">
        <v>4465</v>
      </c>
      <c r="I97">
        <v>40185</v>
      </c>
      <c r="J97" s="7">
        <v>4429.38</v>
      </c>
      <c r="K97">
        <f>Table1_1[[#This Row],[Sales]]/Table1_1[[#This Row],[Profit2]]*100</f>
        <v>907.23758178345497</v>
      </c>
    </row>
    <row r="98" spans="1:11" x14ac:dyDescent="0.25">
      <c r="A98" t="s">
        <v>106</v>
      </c>
      <c r="B98" s="4">
        <v>45432</v>
      </c>
      <c r="C98" t="s">
        <v>435</v>
      </c>
      <c r="D98" t="s">
        <v>552</v>
      </c>
      <c r="E98" t="s">
        <v>554</v>
      </c>
      <c r="F98" t="s">
        <v>574</v>
      </c>
      <c r="G98">
        <v>1</v>
      </c>
      <c r="H98">
        <v>4816</v>
      </c>
      <c r="I98">
        <v>4816</v>
      </c>
      <c r="J98" s="7">
        <v>648.24</v>
      </c>
      <c r="K98">
        <f>Table1_1[[#This Row],[Sales]]/Table1_1[[#This Row],[Profit2]]*100</f>
        <v>742.93471553745519</v>
      </c>
    </row>
    <row r="99" spans="1:11" x14ac:dyDescent="0.25">
      <c r="A99" t="s">
        <v>107</v>
      </c>
      <c r="B99" s="4">
        <v>45540</v>
      </c>
      <c r="C99" t="s">
        <v>486</v>
      </c>
      <c r="D99" t="s">
        <v>550</v>
      </c>
      <c r="E99" t="s">
        <v>553</v>
      </c>
      <c r="F99" t="s">
        <v>576</v>
      </c>
      <c r="G99">
        <v>8</v>
      </c>
      <c r="H99">
        <v>4335</v>
      </c>
      <c r="I99">
        <v>34680</v>
      </c>
      <c r="J99" s="7">
        <v>3667.85</v>
      </c>
      <c r="K99">
        <f>Table1_1[[#This Row],[Sales]]/Table1_1[[#This Row],[Profit2]]*100</f>
        <v>945.51303897378568</v>
      </c>
    </row>
    <row r="100" spans="1:11" x14ac:dyDescent="0.25">
      <c r="A100" t="s">
        <v>108</v>
      </c>
      <c r="B100" s="4">
        <v>45490</v>
      </c>
      <c r="C100" t="s">
        <v>439</v>
      </c>
      <c r="D100" t="s">
        <v>552</v>
      </c>
      <c r="E100" t="s">
        <v>555</v>
      </c>
      <c r="F100" t="s">
        <v>570</v>
      </c>
      <c r="G100">
        <v>4</v>
      </c>
      <c r="H100">
        <v>1760</v>
      </c>
      <c r="I100">
        <v>7040</v>
      </c>
      <c r="J100" s="7">
        <v>1295.69</v>
      </c>
      <c r="K100">
        <f>Table1_1[[#This Row],[Sales]]/Table1_1[[#This Row],[Profit2]]*100</f>
        <v>543.33984209185837</v>
      </c>
    </row>
    <row r="101" spans="1:11" x14ac:dyDescent="0.25">
      <c r="A101" t="s">
        <v>109</v>
      </c>
      <c r="B101" s="4">
        <v>45531</v>
      </c>
      <c r="C101" t="s">
        <v>487</v>
      </c>
      <c r="D101" t="s">
        <v>551</v>
      </c>
      <c r="E101" t="s">
        <v>553</v>
      </c>
      <c r="F101" t="s">
        <v>560</v>
      </c>
      <c r="G101">
        <v>4</v>
      </c>
      <c r="H101">
        <v>1618</v>
      </c>
      <c r="I101">
        <v>6472</v>
      </c>
      <c r="J101" s="7">
        <v>2023.64</v>
      </c>
      <c r="K101">
        <f>Table1_1[[#This Row],[Sales]]/Table1_1[[#This Row],[Profit2]]*100</f>
        <v>319.81973078215492</v>
      </c>
    </row>
    <row r="102" spans="1:11" x14ac:dyDescent="0.25">
      <c r="A102" t="s">
        <v>110</v>
      </c>
      <c r="B102" s="4">
        <v>45467</v>
      </c>
      <c r="C102" t="s">
        <v>460</v>
      </c>
      <c r="D102" t="s">
        <v>549</v>
      </c>
      <c r="E102" t="s">
        <v>554</v>
      </c>
      <c r="F102" t="s">
        <v>572</v>
      </c>
      <c r="G102">
        <v>5</v>
      </c>
      <c r="H102">
        <v>1154</v>
      </c>
      <c r="I102">
        <v>5770</v>
      </c>
      <c r="J102" s="7">
        <v>2070.0300000000002</v>
      </c>
      <c r="K102">
        <f>Table1_1[[#This Row],[Sales]]/Table1_1[[#This Row],[Profit2]]*100</f>
        <v>278.73992164364768</v>
      </c>
    </row>
    <row r="103" spans="1:11" x14ac:dyDescent="0.25">
      <c r="A103" t="s">
        <v>111</v>
      </c>
      <c r="B103" s="4">
        <v>45626</v>
      </c>
      <c r="C103" t="s">
        <v>488</v>
      </c>
      <c r="D103" t="s">
        <v>552</v>
      </c>
      <c r="E103" t="s">
        <v>555</v>
      </c>
      <c r="F103" t="s">
        <v>570</v>
      </c>
      <c r="G103">
        <v>8</v>
      </c>
      <c r="H103">
        <v>1183</v>
      </c>
      <c r="I103">
        <v>9464</v>
      </c>
      <c r="J103" s="7">
        <v>3686.98</v>
      </c>
      <c r="K103">
        <f>Table1_1[[#This Row],[Sales]]/Table1_1[[#This Row],[Profit2]]*100</f>
        <v>256.68704468155511</v>
      </c>
    </row>
    <row r="104" spans="1:11" x14ac:dyDescent="0.25">
      <c r="A104" t="s">
        <v>112</v>
      </c>
      <c r="B104" s="4">
        <v>45359</v>
      </c>
      <c r="C104" t="s">
        <v>432</v>
      </c>
      <c r="D104" t="s">
        <v>552</v>
      </c>
      <c r="E104" t="s">
        <v>555</v>
      </c>
      <c r="F104" t="s">
        <v>570</v>
      </c>
      <c r="G104">
        <v>5</v>
      </c>
      <c r="H104">
        <v>1174</v>
      </c>
      <c r="I104">
        <v>5870</v>
      </c>
      <c r="J104" s="7">
        <v>1487.11</v>
      </c>
      <c r="K104">
        <f>Table1_1[[#This Row],[Sales]]/Table1_1[[#This Row],[Profit2]]*100</f>
        <v>394.72533975294363</v>
      </c>
    </row>
    <row r="105" spans="1:11" x14ac:dyDescent="0.25">
      <c r="A105" t="s">
        <v>113</v>
      </c>
      <c r="B105" s="4">
        <v>45416</v>
      </c>
      <c r="C105" t="s">
        <v>447</v>
      </c>
      <c r="D105" t="s">
        <v>550</v>
      </c>
      <c r="E105" t="s">
        <v>553</v>
      </c>
      <c r="F105" t="s">
        <v>562</v>
      </c>
      <c r="G105">
        <v>8</v>
      </c>
      <c r="H105">
        <v>4333</v>
      </c>
      <c r="I105">
        <v>34664</v>
      </c>
      <c r="J105" s="7">
        <v>9812.01</v>
      </c>
      <c r="K105">
        <f>Table1_1[[#This Row],[Sales]]/Table1_1[[#This Row],[Profit2]]*100</f>
        <v>353.28133583231158</v>
      </c>
    </row>
    <row r="106" spans="1:11" x14ac:dyDescent="0.25">
      <c r="A106" t="s">
        <v>114</v>
      </c>
      <c r="B106" s="4">
        <v>45547</v>
      </c>
      <c r="C106" t="s">
        <v>489</v>
      </c>
      <c r="D106" t="s">
        <v>552</v>
      </c>
      <c r="E106" t="s">
        <v>554</v>
      </c>
      <c r="F106" t="s">
        <v>564</v>
      </c>
      <c r="G106">
        <v>1</v>
      </c>
      <c r="H106">
        <v>4172</v>
      </c>
      <c r="I106">
        <v>4172</v>
      </c>
      <c r="J106" s="7">
        <v>1366.03</v>
      </c>
      <c r="K106">
        <f>Table1_1[[#This Row],[Sales]]/Table1_1[[#This Row],[Profit2]]*100</f>
        <v>305.41056931399748</v>
      </c>
    </row>
    <row r="107" spans="1:11" x14ac:dyDescent="0.25">
      <c r="A107" t="s">
        <v>115</v>
      </c>
      <c r="B107" s="4">
        <v>45408</v>
      </c>
      <c r="C107" t="s">
        <v>490</v>
      </c>
      <c r="D107" t="s">
        <v>552</v>
      </c>
      <c r="E107" t="s">
        <v>555</v>
      </c>
      <c r="F107" t="s">
        <v>570</v>
      </c>
      <c r="G107">
        <v>9</v>
      </c>
      <c r="H107">
        <v>1113</v>
      </c>
      <c r="I107">
        <v>10017</v>
      </c>
      <c r="J107" s="7">
        <v>3518.26</v>
      </c>
      <c r="K107">
        <f>Table1_1[[#This Row],[Sales]]/Table1_1[[#This Row],[Profit2]]*100</f>
        <v>284.71460324137496</v>
      </c>
    </row>
    <row r="108" spans="1:11" x14ac:dyDescent="0.25">
      <c r="A108" t="s">
        <v>116</v>
      </c>
      <c r="B108" s="4">
        <v>45459</v>
      </c>
      <c r="C108" t="s">
        <v>439</v>
      </c>
      <c r="D108" t="s">
        <v>552</v>
      </c>
      <c r="E108" t="s">
        <v>553</v>
      </c>
      <c r="F108" t="s">
        <v>576</v>
      </c>
      <c r="G108">
        <v>6</v>
      </c>
      <c r="H108">
        <v>4749</v>
      </c>
      <c r="I108">
        <v>28494</v>
      </c>
      <c r="J108" s="7">
        <v>6614.56</v>
      </c>
      <c r="K108">
        <f>Table1_1[[#This Row],[Sales]]/Table1_1[[#This Row],[Profit2]]*100</f>
        <v>430.77695266200618</v>
      </c>
    </row>
    <row r="109" spans="1:11" x14ac:dyDescent="0.25">
      <c r="A109" t="s">
        <v>117</v>
      </c>
      <c r="B109" s="4">
        <v>45380</v>
      </c>
      <c r="C109" t="s">
        <v>491</v>
      </c>
      <c r="D109" t="s">
        <v>550</v>
      </c>
      <c r="E109" t="s">
        <v>554</v>
      </c>
      <c r="F109" t="s">
        <v>573</v>
      </c>
      <c r="G109">
        <v>3</v>
      </c>
      <c r="H109">
        <v>236</v>
      </c>
      <c r="I109">
        <v>708</v>
      </c>
      <c r="J109" s="7">
        <v>210.15</v>
      </c>
      <c r="K109">
        <f>Table1_1[[#This Row],[Sales]]/Table1_1[[#This Row],[Profit2]]*100</f>
        <v>336.90221270521056</v>
      </c>
    </row>
    <row r="110" spans="1:11" x14ac:dyDescent="0.25">
      <c r="A110" t="s">
        <v>118</v>
      </c>
      <c r="B110" s="4">
        <v>45438</v>
      </c>
      <c r="C110" t="s">
        <v>492</v>
      </c>
      <c r="D110" t="s">
        <v>552</v>
      </c>
      <c r="E110" t="s">
        <v>553</v>
      </c>
      <c r="F110" t="s">
        <v>562</v>
      </c>
      <c r="G110">
        <v>8</v>
      </c>
      <c r="H110">
        <v>3587</v>
      </c>
      <c r="I110">
        <v>28696</v>
      </c>
      <c r="J110" s="7">
        <v>10340.64</v>
      </c>
      <c r="K110">
        <f>Table1_1[[#This Row],[Sales]]/Table1_1[[#This Row],[Profit2]]*100</f>
        <v>277.5070015008742</v>
      </c>
    </row>
    <row r="111" spans="1:11" x14ac:dyDescent="0.25">
      <c r="A111" t="s">
        <v>119</v>
      </c>
      <c r="B111" s="4">
        <v>45328</v>
      </c>
      <c r="C111" t="s">
        <v>493</v>
      </c>
      <c r="D111" t="s">
        <v>549</v>
      </c>
      <c r="E111" t="s">
        <v>556</v>
      </c>
      <c r="F111" t="s">
        <v>563</v>
      </c>
      <c r="G111">
        <v>9</v>
      </c>
      <c r="H111">
        <v>1911</v>
      </c>
      <c r="I111">
        <v>17199</v>
      </c>
      <c r="J111" s="7">
        <v>5142.83</v>
      </c>
      <c r="K111">
        <f>Table1_1[[#This Row],[Sales]]/Table1_1[[#This Row],[Profit2]]*100</f>
        <v>334.42676503014877</v>
      </c>
    </row>
    <row r="112" spans="1:11" x14ac:dyDescent="0.25">
      <c r="A112" t="s">
        <v>120</v>
      </c>
      <c r="B112" s="4">
        <v>45304</v>
      </c>
      <c r="C112" t="s">
        <v>430</v>
      </c>
      <c r="D112" t="s">
        <v>550</v>
      </c>
      <c r="E112" t="s">
        <v>555</v>
      </c>
      <c r="F112" t="s">
        <v>567</v>
      </c>
      <c r="G112">
        <v>6</v>
      </c>
      <c r="H112">
        <v>3220</v>
      </c>
      <c r="I112">
        <v>19320</v>
      </c>
      <c r="J112" s="7">
        <v>3273.51</v>
      </c>
      <c r="K112">
        <f>Table1_1[[#This Row],[Sales]]/Table1_1[[#This Row],[Profit2]]*100</f>
        <v>590.19217903718027</v>
      </c>
    </row>
    <row r="113" spans="1:11" x14ac:dyDescent="0.25">
      <c r="A113" t="s">
        <v>121</v>
      </c>
      <c r="B113" s="4">
        <v>45536</v>
      </c>
      <c r="C113" t="s">
        <v>455</v>
      </c>
      <c r="D113" t="s">
        <v>549</v>
      </c>
      <c r="E113" t="s">
        <v>556</v>
      </c>
      <c r="F113" t="s">
        <v>568</v>
      </c>
      <c r="G113">
        <v>7</v>
      </c>
      <c r="H113">
        <v>995</v>
      </c>
      <c r="I113">
        <v>6965</v>
      </c>
      <c r="J113" s="7">
        <v>2687.28</v>
      </c>
      <c r="K113">
        <f>Table1_1[[#This Row],[Sales]]/Table1_1[[#This Row],[Profit2]]*100</f>
        <v>259.18400762108894</v>
      </c>
    </row>
    <row r="114" spans="1:11" x14ac:dyDescent="0.25">
      <c r="A114" t="s">
        <v>122</v>
      </c>
      <c r="B114" s="4">
        <v>45530</v>
      </c>
      <c r="C114" t="s">
        <v>457</v>
      </c>
      <c r="D114" t="s">
        <v>550</v>
      </c>
      <c r="E114" t="s">
        <v>554</v>
      </c>
      <c r="F114" t="s">
        <v>558</v>
      </c>
      <c r="G114">
        <v>1</v>
      </c>
      <c r="H114">
        <v>4236</v>
      </c>
      <c r="I114">
        <v>4236</v>
      </c>
      <c r="J114" s="7">
        <v>840.91</v>
      </c>
      <c r="K114">
        <f>Table1_1[[#This Row],[Sales]]/Table1_1[[#This Row],[Profit2]]*100</f>
        <v>503.73999595676116</v>
      </c>
    </row>
    <row r="115" spans="1:11" x14ac:dyDescent="0.25">
      <c r="A115" t="s">
        <v>123</v>
      </c>
      <c r="B115" s="4">
        <v>45617</v>
      </c>
      <c r="C115" t="s">
        <v>494</v>
      </c>
      <c r="D115" t="s">
        <v>552</v>
      </c>
      <c r="E115" t="s">
        <v>556</v>
      </c>
      <c r="F115" t="s">
        <v>565</v>
      </c>
      <c r="G115">
        <v>5</v>
      </c>
      <c r="H115">
        <v>4888</v>
      </c>
      <c r="I115">
        <v>24440</v>
      </c>
      <c r="J115" s="7">
        <v>7741.8</v>
      </c>
      <c r="K115">
        <f>Table1_1[[#This Row],[Sales]]/Table1_1[[#This Row],[Profit2]]*100</f>
        <v>315.68885788834638</v>
      </c>
    </row>
    <row r="116" spans="1:11" x14ac:dyDescent="0.25">
      <c r="A116" t="s">
        <v>124</v>
      </c>
      <c r="B116" s="4">
        <v>45443</v>
      </c>
      <c r="C116" t="s">
        <v>495</v>
      </c>
      <c r="D116" t="s">
        <v>549</v>
      </c>
      <c r="E116" t="s">
        <v>556</v>
      </c>
      <c r="F116" t="s">
        <v>565</v>
      </c>
      <c r="G116">
        <v>5</v>
      </c>
      <c r="H116">
        <v>3311</v>
      </c>
      <c r="I116">
        <v>16555</v>
      </c>
      <c r="J116" s="7">
        <v>5712.29</v>
      </c>
      <c r="K116">
        <f>Table1_1[[#This Row],[Sales]]/Table1_1[[#This Row],[Profit2]]*100</f>
        <v>289.81371744081616</v>
      </c>
    </row>
    <row r="117" spans="1:11" x14ac:dyDescent="0.25">
      <c r="A117" t="s">
        <v>125</v>
      </c>
      <c r="B117" s="4">
        <v>45427</v>
      </c>
      <c r="C117" t="s">
        <v>482</v>
      </c>
      <c r="D117" t="s">
        <v>550</v>
      </c>
      <c r="E117" t="s">
        <v>554</v>
      </c>
      <c r="F117" t="s">
        <v>572</v>
      </c>
      <c r="G117">
        <v>4</v>
      </c>
      <c r="H117">
        <v>1524</v>
      </c>
      <c r="I117">
        <v>6096</v>
      </c>
      <c r="J117" s="7">
        <v>1315.09</v>
      </c>
      <c r="K117">
        <f>Table1_1[[#This Row],[Sales]]/Table1_1[[#This Row],[Profit2]]*100</f>
        <v>463.54241915002018</v>
      </c>
    </row>
    <row r="118" spans="1:11" x14ac:dyDescent="0.25">
      <c r="A118" t="s">
        <v>126</v>
      </c>
      <c r="B118" s="4">
        <v>45507</v>
      </c>
      <c r="C118" t="s">
        <v>496</v>
      </c>
      <c r="D118" t="s">
        <v>551</v>
      </c>
      <c r="E118" t="s">
        <v>553</v>
      </c>
      <c r="F118" t="s">
        <v>562</v>
      </c>
      <c r="G118">
        <v>6</v>
      </c>
      <c r="H118">
        <v>517</v>
      </c>
      <c r="I118">
        <v>3102</v>
      </c>
      <c r="J118" s="7">
        <v>1005.47</v>
      </c>
      <c r="K118">
        <f>Table1_1[[#This Row],[Sales]]/Table1_1[[#This Row],[Profit2]]*100</f>
        <v>308.51243696977531</v>
      </c>
    </row>
    <row r="119" spans="1:11" x14ac:dyDescent="0.25">
      <c r="A119" t="s">
        <v>127</v>
      </c>
      <c r="B119" s="4">
        <v>45572</v>
      </c>
      <c r="C119" t="s">
        <v>497</v>
      </c>
      <c r="D119" t="s">
        <v>552</v>
      </c>
      <c r="E119" t="s">
        <v>556</v>
      </c>
      <c r="F119" t="s">
        <v>565</v>
      </c>
      <c r="G119">
        <v>7</v>
      </c>
      <c r="H119">
        <v>2596</v>
      </c>
      <c r="I119">
        <v>18172</v>
      </c>
      <c r="J119" s="7">
        <v>2523.44</v>
      </c>
      <c r="K119">
        <f>Table1_1[[#This Row],[Sales]]/Table1_1[[#This Row],[Profit2]]*100</f>
        <v>720.12807913007646</v>
      </c>
    </row>
    <row r="120" spans="1:11" x14ac:dyDescent="0.25">
      <c r="A120" t="s">
        <v>128</v>
      </c>
      <c r="B120" s="4">
        <v>45470</v>
      </c>
      <c r="C120" t="s">
        <v>484</v>
      </c>
      <c r="D120" t="s">
        <v>550</v>
      </c>
      <c r="E120" t="s">
        <v>553</v>
      </c>
      <c r="F120" t="s">
        <v>562</v>
      </c>
      <c r="G120">
        <v>9</v>
      </c>
      <c r="H120">
        <v>2362</v>
      </c>
      <c r="I120">
        <v>21258</v>
      </c>
      <c r="J120" s="7">
        <v>4163.21</v>
      </c>
      <c r="K120">
        <f>Table1_1[[#This Row],[Sales]]/Table1_1[[#This Row],[Profit2]]*100</f>
        <v>510.61560670732445</v>
      </c>
    </row>
    <row r="121" spans="1:11" x14ac:dyDescent="0.25">
      <c r="A121" t="s">
        <v>129</v>
      </c>
      <c r="B121" s="4">
        <v>45461</v>
      </c>
      <c r="C121" t="s">
        <v>460</v>
      </c>
      <c r="D121" t="s">
        <v>551</v>
      </c>
      <c r="E121" t="s">
        <v>556</v>
      </c>
      <c r="F121" t="s">
        <v>563</v>
      </c>
      <c r="G121">
        <v>1</v>
      </c>
      <c r="H121">
        <v>2945</v>
      </c>
      <c r="I121">
        <v>2945</v>
      </c>
      <c r="J121" s="7">
        <v>411.52</v>
      </c>
      <c r="K121">
        <f>Table1_1[[#This Row],[Sales]]/Table1_1[[#This Row],[Profit2]]*100</f>
        <v>715.63958009331259</v>
      </c>
    </row>
    <row r="122" spans="1:11" x14ac:dyDescent="0.25">
      <c r="A122" t="s">
        <v>130</v>
      </c>
      <c r="B122" s="4">
        <v>45511</v>
      </c>
      <c r="C122" t="s">
        <v>493</v>
      </c>
      <c r="D122" t="s">
        <v>550</v>
      </c>
      <c r="E122" t="s">
        <v>553</v>
      </c>
      <c r="F122" t="s">
        <v>571</v>
      </c>
      <c r="G122">
        <v>6</v>
      </c>
      <c r="H122">
        <v>1791</v>
      </c>
      <c r="I122">
        <v>10746</v>
      </c>
      <c r="J122" s="7">
        <v>1273.82</v>
      </c>
      <c r="K122">
        <f>Table1_1[[#This Row],[Sales]]/Table1_1[[#This Row],[Profit2]]*100</f>
        <v>843.60427689940491</v>
      </c>
    </row>
    <row r="123" spans="1:11" x14ac:dyDescent="0.25">
      <c r="A123" t="s">
        <v>131</v>
      </c>
      <c r="B123" s="4">
        <v>45654</v>
      </c>
      <c r="C123" t="s">
        <v>419</v>
      </c>
      <c r="D123" t="s">
        <v>551</v>
      </c>
      <c r="E123" t="s">
        <v>554</v>
      </c>
      <c r="F123" t="s">
        <v>564</v>
      </c>
      <c r="G123">
        <v>7</v>
      </c>
      <c r="H123">
        <v>3311</v>
      </c>
      <c r="I123">
        <v>23177</v>
      </c>
      <c r="J123" s="7">
        <v>7544.05</v>
      </c>
      <c r="K123">
        <f>Table1_1[[#This Row],[Sales]]/Table1_1[[#This Row],[Profit2]]*100</f>
        <v>307.22224799676565</v>
      </c>
    </row>
    <row r="124" spans="1:11" x14ac:dyDescent="0.25">
      <c r="A124" t="s">
        <v>132</v>
      </c>
      <c r="B124" s="4">
        <v>45388</v>
      </c>
      <c r="C124" t="s">
        <v>477</v>
      </c>
      <c r="D124" t="s">
        <v>552</v>
      </c>
      <c r="E124" t="s">
        <v>556</v>
      </c>
      <c r="F124" t="s">
        <v>563</v>
      </c>
      <c r="G124">
        <v>3</v>
      </c>
      <c r="H124">
        <v>4130</v>
      </c>
      <c r="I124">
        <v>12390</v>
      </c>
      <c r="J124" s="7">
        <v>4113.51</v>
      </c>
      <c r="K124">
        <f>Table1_1[[#This Row],[Sales]]/Table1_1[[#This Row],[Profit2]]*100</f>
        <v>301.20262257779848</v>
      </c>
    </row>
    <row r="125" spans="1:11" x14ac:dyDescent="0.25">
      <c r="A125" t="s">
        <v>133</v>
      </c>
      <c r="B125" s="4">
        <v>45564</v>
      </c>
      <c r="C125" t="s">
        <v>447</v>
      </c>
      <c r="D125" t="s">
        <v>549</v>
      </c>
      <c r="E125" t="s">
        <v>554</v>
      </c>
      <c r="F125" t="s">
        <v>572</v>
      </c>
      <c r="G125">
        <v>8</v>
      </c>
      <c r="H125">
        <v>2196</v>
      </c>
      <c r="I125">
        <v>17568</v>
      </c>
      <c r="J125" s="7">
        <v>3466.95</v>
      </c>
      <c r="K125">
        <f>Table1_1[[#This Row],[Sales]]/Table1_1[[#This Row],[Profit2]]*100</f>
        <v>506.72781551507808</v>
      </c>
    </row>
    <row r="126" spans="1:11" x14ac:dyDescent="0.25">
      <c r="A126" t="s">
        <v>134</v>
      </c>
      <c r="B126" s="4">
        <v>45319</v>
      </c>
      <c r="C126" t="s">
        <v>498</v>
      </c>
      <c r="D126" t="s">
        <v>551</v>
      </c>
      <c r="E126" t="s">
        <v>556</v>
      </c>
      <c r="F126" t="s">
        <v>568</v>
      </c>
      <c r="G126">
        <v>5</v>
      </c>
      <c r="H126">
        <v>1512</v>
      </c>
      <c r="I126">
        <v>7560</v>
      </c>
      <c r="J126" s="7">
        <v>1107.29</v>
      </c>
      <c r="K126">
        <f>Table1_1[[#This Row],[Sales]]/Table1_1[[#This Row],[Profit2]]*100</f>
        <v>682.74797026975773</v>
      </c>
    </row>
    <row r="127" spans="1:11" x14ac:dyDescent="0.25">
      <c r="A127" t="s">
        <v>135</v>
      </c>
      <c r="B127" s="4">
        <v>45295</v>
      </c>
      <c r="C127" t="s">
        <v>499</v>
      </c>
      <c r="D127" t="s">
        <v>550</v>
      </c>
      <c r="E127" t="s">
        <v>554</v>
      </c>
      <c r="F127" t="s">
        <v>564</v>
      </c>
      <c r="G127">
        <v>9</v>
      </c>
      <c r="H127">
        <v>1485</v>
      </c>
      <c r="I127">
        <v>13365</v>
      </c>
      <c r="J127" s="7">
        <v>1563.33</v>
      </c>
      <c r="K127">
        <f>Table1_1[[#This Row],[Sales]]/Table1_1[[#This Row],[Profit2]]*100</f>
        <v>854.9058739997314</v>
      </c>
    </row>
    <row r="128" spans="1:11" x14ac:dyDescent="0.25">
      <c r="A128" t="s">
        <v>136</v>
      </c>
      <c r="B128" s="4">
        <v>45621</v>
      </c>
      <c r="C128" t="s">
        <v>500</v>
      </c>
      <c r="D128" t="s">
        <v>552</v>
      </c>
      <c r="E128" t="s">
        <v>554</v>
      </c>
      <c r="F128" t="s">
        <v>564</v>
      </c>
      <c r="G128">
        <v>5</v>
      </c>
      <c r="H128">
        <v>4511</v>
      </c>
      <c r="I128">
        <v>22555</v>
      </c>
      <c r="J128" s="7">
        <v>6381.92</v>
      </c>
      <c r="K128">
        <f>Table1_1[[#This Row],[Sales]]/Table1_1[[#This Row],[Profit2]]*100</f>
        <v>353.42028731165544</v>
      </c>
    </row>
    <row r="129" spans="1:11" x14ac:dyDescent="0.25">
      <c r="A129" t="s">
        <v>137</v>
      </c>
      <c r="B129" s="4">
        <v>45345</v>
      </c>
      <c r="C129" t="s">
        <v>459</v>
      </c>
      <c r="D129" t="s">
        <v>551</v>
      </c>
      <c r="E129" t="s">
        <v>556</v>
      </c>
      <c r="F129" t="s">
        <v>568</v>
      </c>
      <c r="G129">
        <v>9</v>
      </c>
      <c r="H129">
        <v>2583</v>
      </c>
      <c r="I129">
        <v>23247</v>
      </c>
      <c r="J129" s="7">
        <v>5086.21</v>
      </c>
      <c r="K129">
        <f>Table1_1[[#This Row],[Sales]]/Table1_1[[#This Row],[Profit2]]*100</f>
        <v>457.0593821332584</v>
      </c>
    </row>
    <row r="130" spans="1:11" x14ac:dyDescent="0.25">
      <c r="A130" t="s">
        <v>138</v>
      </c>
      <c r="B130" s="4">
        <v>45583</v>
      </c>
      <c r="C130" t="s">
        <v>475</v>
      </c>
      <c r="D130" t="s">
        <v>550</v>
      </c>
      <c r="E130" t="s">
        <v>556</v>
      </c>
      <c r="F130" t="s">
        <v>568</v>
      </c>
      <c r="G130">
        <v>4</v>
      </c>
      <c r="H130">
        <v>3439</v>
      </c>
      <c r="I130">
        <v>13756</v>
      </c>
      <c r="J130" s="7">
        <v>3405.69</v>
      </c>
      <c r="K130">
        <f>Table1_1[[#This Row],[Sales]]/Table1_1[[#This Row],[Profit2]]*100</f>
        <v>403.91227622009052</v>
      </c>
    </row>
    <row r="131" spans="1:11" x14ac:dyDescent="0.25">
      <c r="A131" t="s">
        <v>139</v>
      </c>
      <c r="B131" s="4">
        <v>45644</v>
      </c>
      <c r="C131" t="s">
        <v>459</v>
      </c>
      <c r="D131" t="s">
        <v>550</v>
      </c>
      <c r="E131" t="s">
        <v>556</v>
      </c>
      <c r="F131" t="s">
        <v>563</v>
      </c>
      <c r="G131">
        <v>9</v>
      </c>
      <c r="H131">
        <v>2339</v>
      </c>
      <c r="I131">
        <v>21051</v>
      </c>
      <c r="J131" s="7">
        <v>6065.55</v>
      </c>
      <c r="K131">
        <f>Table1_1[[#This Row],[Sales]]/Table1_1[[#This Row],[Profit2]]*100</f>
        <v>347.0583871207063</v>
      </c>
    </row>
    <row r="132" spans="1:11" x14ac:dyDescent="0.25">
      <c r="A132" t="s">
        <v>140</v>
      </c>
      <c r="B132" s="4">
        <v>45448</v>
      </c>
      <c r="C132" t="s">
        <v>501</v>
      </c>
      <c r="D132" t="s">
        <v>550</v>
      </c>
      <c r="E132" t="s">
        <v>555</v>
      </c>
      <c r="F132" t="s">
        <v>575</v>
      </c>
      <c r="G132">
        <v>5</v>
      </c>
      <c r="H132">
        <v>1904</v>
      </c>
      <c r="I132">
        <v>9520</v>
      </c>
      <c r="J132" s="7">
        <v>3654.43</v>
      </c>
      <c r="K132">
        <f>Table1_1[[#This Row],[Sales]]/Table1_1[[#This Row],[Profit2]]*100</f>
        <v>260.5057423455915</v>
      </c>
    </row>
    <row r="133" spans="1:11" x14ac:dyDescent="0.25">
      <c r="A133" t="s">
        <v>141</v>
      </c>
      <c r="B133" s="4">
        <v>45629</v>
      </c>
      <c r="C133" t="s">
        <v>471</v>
      </c>
      <c r="D133" t="s">
        <v>551</v>
      </c>
      <c r="E133" t="s">
        <v>553</v>
      </c>
      <c r="F133" t="s">
        <v>576</v>
      </c>
      <c r="G133">
        <v>9</v>
      </c>
      <c r="H133">
        <v>562</v>
      </c>
      <c r="I133">
        <v>5058</v>
      </c>
      <c r="J133" s="7">
        <v>1716.9</v>
      </c>
      <c r="K133">
        <f>Table1_1[[#This Row],[Sales]]/Table1_1[[#This Row],[Profit2]]*100</f>
        <v>294.60073388083174</v>
      </c>
    </row>
    <row r="134" spans="1:11" x14ac:dyDescent="0.25">
      <c r="A134" t="s">
        <v>142</v>
      </c>
      <c r="B134" s="4">
        <v>45524</v>
      </c>
      <c r="C134" t="s">
        <v>502</v>
      </c>
      <c r="D134" t="s">
        <v>551</v>
      </c>
      <c r="E134" t="s">
        <v>555</v>
      </c>
      <c r="F134" t="s">
        <v>559</v>
      </c>
      <c r="G134">
        <v>3</v>
      </c>
      <c r="H134">
        <v>2804</v>
      </c>
      <c r="I134">
        <v>8412</v>
      </c>
      <c r="J134" s="7">
        <v>2288.04</v>
      </c>
      <c r="K134">
        <f>Table1_1[[#This Row],[Sales]]/Table1_1[[#This Row],[Profit2]]*100</f>
        <v>367.65091519379035</v>
      </c>
    </row>
    <row r="135" spans="1:11" x14ac:dyDescent="0.25">
      <c r="A135" t="s">
        <v>143</v>
      </c>
      <c r="B135" s="4">
        <v>45388</v>
      </c>
      <c r="C135" t="s">
        <v>430</v>
      </c>
      <c r="D135" t="s">
        <v>551</v>
      </c>
      <c r="E135" t="s">
        <v>555</v>
      </c>
      <c r="F135" t="s">
        <v>570</v>
      </c>
      <c r="G135">
        <v>4</v>
      </c>
      <c r="H135">
        <v>1916</v>
      </c>
      <c r="I135">
        <v>7664</v>
      </c>
      <c r="J135" s="7">
        <v>1249.29</v>
      </c>
      <c r="K135">
        <f>Table1_1[[#This Row],[Sales]]/Table1_1[[#This Row],[Profit2]]*100</f>
        <v>613.46845007964521</v>
      </c>
    </row>
    <row r="136" spans="1:11" x14ac:dyDescent="0.25">
      <c r="A136" t="s">
        <v>144</v>
      </c>
      <c r="B136" s="4">
        <v>45373</v>
      </c>
      <c r="C136" t="s">
        <v>503</v>
      </c>
      <c r="D136" t="s">
        <v>549</v>
      </c>
      <c r="E136" t="s">
        <v>554</v>
      </c>
      <c r="F136" t="s">
        <v>558</v>
      </c>
      <c r="G136">
        <v>9</v>
      </c>
      <c r="H136">
        <v>4651</v>
      </c>
      <c r="I136">
        <v>41859</v>
      </c>
      <c r="J136" s="7">
        <v>11398.75</v>
      </c>
      <c r="K136">
        <f>Table1_1[[#This Row],[Sales]]/Table1_1[[#This Row],[Profit2]]*100</f>
        <v>367.22447636802281</v>
      </c>
    </row>
    <row r="137" spans="1:11" x14ac:dyDescent="0.25">
      <c r="A137" t="s">
        <v>145</v>
      </c>
      <c r="B137" s="4">
        <v>45617</v>
      </c>
      <c r="C137" t="s">
        <v>504</v>
      </c>
      <c r="D137" t="s">
        <v>551</v>
      </c>
      <c r="E137" t="s">
        <v>556</v>
      </c>
      <c r="F137" t="s">
        <v>563</v>
      </c>
      <c r="G137">
        <v>6</v>
      </c>
      <c r="H137">
        <v>4486</v>
      </c>
      <c r="I137">
        <v>26916</v>
      </c>
      <c r="J137" s="7">
        <v>9395.34</v>
      </c>
      <c r="K137">
        <f>Table1_1[[#This Row],[Sales]]/Table1_1[[#This Row],[Profit2]]*100</f>
        <v>286.48244768151022</v>
      </c>
    </row>
    <row r="138" spans="1:11" x14ac:dyDescent="0.25">
      <c r="A138" t="s">
        <v>146</v>
      </c>
      <c r="B138" s="4">
        <v>45502</v>
      </c>
      <c r="C138" t="s">
        <v>455</v>
      </c>
      <c r="D138" t="s">
        <v>551</v>
      </c>
      <c r="E138" t="s">
        <v>553</v>
      </c>
      <c r="F138" t="s">
        <v>562</v>
      </c>
      <c r="G138">
        <v>2</v>
      </c>
      <c r="H138">
        <v>3938</v>
      </c>
      <c r="I138">
        <v>7876</v>
      </c>
      <c r="J138" s="7">
        <v>861.61</v>
      </c>
      <c r="K138">
        <f>Table1_1[[#This Row],[Sales]]/Table1_1[[#This Row],[Profit2]]*100</f>
        <v>914.10266826058194</v>
      </c>
    </row>
    <row r="139" spans="1:11" x14ac:dyDescent="0.25">
      <c r="A139" t="s">
        <v>147</v>
      </c>
      <c r="B139" s="4">
        <v>45613</v>
      </c>
      <c r="C139" t="s">
        <v>505</v>
      </c>
      <c r="D139" t="s">
        <v>551</v>
      </c>
      <c r="E139" t="s">
        <v>554</v>
      </c>
      <c r="F139" t="s">
        <v>558</v>
      </c>
      <c r="G139">
        <v>7</v>
      </c>
      <c r="H139">
        <v>2669</v>
      </c>
      <c r="I139">
        <v>18683</v>
      </c>
      <c r="J139" s="7">
        <v>4972.29</v>
      </c>
      <c r="K139">
        <f>Table1_1[[#This Row],[Sales]]/Table1_1[[#This Row],[Profit2]]*100</f>
        <v>375.74236418229827</v>
      </c>
    </row>
    <row r="140" spans="1:11" x14ac:dyDescent="0.25">
      <c r="A140" t="s">
        <v>148</v>
      </c>
      <c r="B140" s="4">
        <v>45421</v>
      </c>
      <c r="C140" t="s">
        <v>445</v>
      </c>
      <c r="D140" t="s">
        <v>549</v>
      </c>
      <c r="E140" t="s">
        <v>555</v>
      </c>
      <c r="F140" t="s">
        <v>567</v>
      </c>
      <c r="G140">
        <v>2</v>
      </c>
      <c r="H140">
        <v>4995</v>
      </c>
      <c r="I140">
        <v>9990</v>
      </c>
      <c r="J140" s="7">
        <v>1852.95</v>
      </c>
      <c r="K140">
        <f>Table1_1[[#This Row],[Sales]]/Table1_1[[#This Row],[Profit2]]*100</f>
        <v>539.14028980814373</v>
      </c>
    </row>
    <row r="141" spans="1:11" x14ac:dyDescent="0.25">
      <c r="A141" t="s">
        <v>149</v>
      </c>
      <c r="B141" s="4">
        <v>45480</v>
      </c>
      <c r="C141" t="s">
        <v>506</v>
      </c>
      <c r="D141" t="s">
        <v>551</v>
      </c>
      <c r="E141" t="s">
        <v>556</v>
      </c>
      <c r="F141" t="s">
        <v>565</v>
      </c>
      <c r="G141">
        <v>2</v>
      </c>
      <c r="H141">
        <v>756</v>
      </c>
      <c r="I141">
        <v>1512</v>
      </c>
      <c r="J141" s="7">
        <v>463.28</v>
      </c>
      <c r="K141">
        <f>Table1_1[[#This Row],[Sales]]/Table1_1[[#This Row],[Profit2]]*100</f>
        <v>326.36850284924884</v>
      </c>
    </row>
    <row r="142" spans="1:11" x14ac:dyDescent="0.25">
      <c r="A142" t="s">
        <v>150</v>
      </c>
      <c r="B142" s="4">
        <v>45311</v>
      </c>
      <c r="C142" t="s">
        <v>422</v>
      </c>
      <c r="D142" t="s">
        <v>550</v>
      </c>
      <c r="E142" t="s">
        <v>554</v>
      </c>
      <c r="F142" t="s">
        <v>572</v>
      </c>
      <c r="G142">
        <v>1</v>
      </c>
      <c r="H142">
        <v>1025</v>
      </c>
      <c r="I142">
        <v>1025</v>
      </c>
      <c r="J142" s="7">
        <v>319.39999999999998</v>
      </c>
      <c r="K142">
        <f>Table1_1[[#This Row],[Sales]]/Table1_1[[#This Row],[Profit2]]*100</f>
        <v>320.91421415153417</v>
      </c>
    </row>
    <row r="143" spans="1:11" x14ac:dyDescent="0.25">
      <c r="A143" t="s">
        <v>151</v>
      </c>
      <c r="B143" s="4">
        <v>45484</v>
      </c>
      <c r="C143" t="s">
        <v>474</v>
      </c>
      <c r="D143" t="s">
        <v>551</v>
      </c>
      <c r="E143" t="s">
        <v>556</v>
      </c>
      <c r="F143" t="s">
        <v>563</v>
      </c>
      <c r="G143">
        <v>3</v>
      </c>
      <c r="H143">
        <v>3008</v>
      </c>
      <c r="I143">
        <v>9024</v>
      </c>
      <c r="J143" s="7">
        <v>1146.6099999999999</v>
      </c>
      <c r="K143">
        <f>Table1_1[[#This Row],[Sales]]/Table1_1[[#This Row],[Profit2]]*100</f>
        <v>787.01563740068559</v>
      </c>
    </row>
    <row r="144" spans="1:11" x14ac:dyDescent="0.25">
      <c r="A144" t="s">
        <v>152</v>
      </c>
      <c r="B144" s="4">
        <v>45573</v>
      </c>
      <c r="C144" t="s">
        <v>497</v>
      </c>
      <c r="D144" t="s">
        <v>550</v>
      </c>
      <c r="E144" t="s">
        <v>554</v>
      </c>
      <c r="F144" t="s">
        <v>572</v>
      </c>
      <c r="G144">
        <v>6</v>
      </c>
      <c r="H144">
        <v>4721</v>
      </c>
      <c r="I144">
        <v>28326</v>
      </c>
      <c r="J144" s="7">
        <v>5537.95</v>
      </c>
      <c r="K144">
        <f>Table1_1[[#This Row],[Sales]]/Table1_1[[#This Row],[Profit2]]*100</f>
        <v>511.48890835056295</v>
      </c>
    </row>
    <row r="145" spans="1:11" x14ac:dyDescent="0.25">
      <c r="A145" t="s">
        <v>153</v>
      </c>
      <c r="B145" s="4">
        <v>45604</v>
      </c>
      <c r="C145" t="s">
        <v>507</v>
      </c>
      <c r="D145" t="s">
        <v>550</v>
      </c>
      <c r="E145" t="s">
        <v>556</v>
      </c>
      <c r="F145" t="s">
        <v>563</v>
      </c>
      <c r="G145">
        <v>8</v>
      </c>
      <c r="H145">
        <v>2919</v>
      </c>
      <c r="I145">
        <v>23352</v>
      </c>
      <c r="J145" s="7">
        <v>3497.92</v>
      </c>
      <c r="K145">
        <f>Table1_1[[#This Row],[Sales]]/Table1_1[[#This Row],[Profit2]]*100</f>
        <v>667.5967432073918</v>
      </c>
    </row>
    <row r="146" spans="1:11" x14ac:dyDescent="0.25">
      <c r="A146" t="s">
        <v>154</v>
      </c>
      <c r="B146" s="4">
        <v>45389</v>
      </c>
      <c r="C146" t="s">
        <v>508</v>
      </c>
      <c r="D146" t="s">
        <v>550</v>
      </c>
      <c r="E146" t="s">
        <v>555</v>
      </c>
      <c r="F146" t="s">
        <v>570</v>
      </c>
      <c r="G146">
        <v>9</v>
      </c>
      <c r="H146">
        <v>3708</v>
      </c>
      <c r="I146">
        <v>33372</v>
      </c>
      <c r="J146" s="7">
        <v>7574.44</v>
      </c>
      <c r="K146">
        <f>Table1_1[[#This Row],[Sales]]/Table1_1[[#This Row],[Profit2]]*100</f>
        <v>440.58702689571777</v>
      </c>
    </row>
    <row r="147" spans="1:11" x14ac:dyDescent="0.25">
      <c r="A147" t="s">
        <v>155</v>
      </c>
      <c r="B147" s="4">
        <v>45339</v>
      </c>
      <c r="C147" t="s">
        <v>509</v>
      </c>
      <c r="D147" t="s">
        <v>549</v>
      </c>
      <c r="E147" t="s">
        <v>553</v>
      </c>
      <c r="F147" t="s">
        <v>560</v>
      </c>
      <c r="G147">
        <v>7</v>
      </c>
      <c r="H147">
        <v>3941</v>
      </c>
      <c r="I147">
        <v>27587</v>
      </c>
      <c r="J147" s="7">
        <v>3342.79</v>
      </c>
      <c r="K147">
        <f>Table1_1[[#This Row],[Sales]]/Table1_1[[#This Row],[Profit2]]*100</f>
        <v>825.26871266217745</v>
      </c>
    </row>
    <row r="148" spans="1:11" x14ac:dyDescent="0.25">
      <c r="A148" t="s">
        <v>156</v>
      </c>
      <c r="B148" s="4">
        <v>45428</v>
      </c>
      <c r="C148" t="s">
        <v>510</v>
      </c>
      <c r="D148" t="s">
        <v>549</v>
      </c>
      <c r="E148" t="s">
        <v>555</v>
      </c>
      <c r="F148" t="s">
        <v>566</v>
      </c>
      <c r="G148">
        <v>4</v>
      </c>
      <c r="H148">
        <v>1774</v>
      </c>
      <c r="I148">
        <v>7096</v>
      </c>
      <c r="J148" s="7">
        <v>2300.59</v>
      </c>
      <c r="K148">
        <f>Table1_1[[#This Row],[Sales]]/Table1_1[[#This Row],[Profit2]]*100</f>
        <v>308.44261689392721</v>
      </c>
    </row>
    <row r="149" spans="1:11" x14ac:dyDescent="0.25">
      <c r="A149" t="s">
        <v>157</v>
      </c>
      <c r="B149" s="4">
        <v>45296</v>
      </c>
      <c r="C149" t="s">
        <v>511</v>
      </c>
      <c r="D149" t="s">
        <v>549</v>
      </c>
      <c r="E149" t="s">
        <v>553</v>
      </c>
      <c r="F149" t="s">
        <v>560</v>
      </c>
      <c r="G149">
        <v>6</v>
      </c>
      <c r="H149">
        <v>4198</v>
      </c>
      <c r="I149">
        <v>25188</v>
      </c>
      <c r="J149" s="7">
        <v>5660.93</v>
      </c>
      <c r="K149">
        <f>Table1_1[[#This Row],[Sales]]/Table1_1[[#This Row],[Profit2]]*100</f>
        <v>444.94455857959736</v>
      </c>
    </row>
    <row r="150" spans="1:11" x14ac:dyDescent="0.25">
      <c r="A150" t="s">
        <v>158</v>
      </c>
      <c r="B150" s="4">
        <v>45520</v>
      </c>
      <c r="C150" t="s">
        <v>412</v>
      </c>
      <c r="D150" t="s">
        <v>551</v>
      </c>
      <c r="E150" t="s">
        <v>556</v>
      </c>
      <c r="F150" t="s">
        <v>568</v>
      </c>
      <c r="G150">
        <v>5</v>
      </c>
      <c r="H150">
        <v>2329</v>
      </c>
      <c r="I150">
        <v>11645</v>
      </c>
      <c r="J150" s="7">
        <v>4144.32</v>
      </c>
      <c r="K150">
        <f>Table1_1[[#This Row],[Sales]]/Table1_1[[#This Row],[Profit2]]*100</f>
        <v>280.98698942166629</v>
      </c>
    </row>
    <row r="151" spans="1:11" x14ac:dyDescent="0.25">
      <c r="A151" t="s">
        <v>159</v>
      </c>
      <c r="B151" s="4">
        <v>45352</v>
      </c>
      <c r="C151" t="s">
        <v>512</v>
      </c>
      <c r="D151" t="s">
        <v>550</v>
      </c>
      <c r="E151" t="s">
        <v>554</v>
      </c>
      <c r="F151" t="s">
        <v>573</v>
      </c>
      <c r="G151">
        <v>8</v>
      </c>
      <c r="H151">
        <v>2603</v>
      </c>
      <c r="I151">
        <v>20824</v>
      </c>
      <c r="J151" s="7">
        <v>5139.26</v>
      </c>
      <c r="K151">
        <f>Table1_1[[#This Row],[Sales]]/Table1_1[[#This Row],[Profit2]]*100</f>
        <v>405.19452216856121</v>
      </c>
    </row>
    <row r="152" spans="1:11" x14ac:dyDescent="0.25">
      <c r="A152" t="s">
        <v>160</v>
      </c>
      <c r="B152" s="4">
        <v>45526</v>
      </c>
      <c r="C152" t="s">
        <v>480</v>
      </c>
      <c r="D152" t="s">
        <v>549</v>
      </c>
      <c r="E152" t="s">
        <v>555</v>
      </c>
      <c r="F152" t="s">
        <v>570</v>
      </c>
      <c r="G152">
        <v>1</v>
      </c>
      <c r="H152">
        <v>3529</v>
      </c>
      <c r="I152">
        <v>3529</v>
      </c>
      <c r="J152" s="7">
        <v>779.06</v>
      </c>
      <c r="K152">
        <f>Table1_1[[#This Row],[Sales]]/Table1_1[[#This Row],[Profit2]]*100</f>
        <v>452.98179857777325</v>
      </c>
    </row>
    <row r="153" spans="1:11" x14ac:dyDescent="0.25">
      <c r="A153" t="s">
        <v>161</v>
      </c>
      <c r="B153" s="4">
        <v>45376</v>
      </c>
      <c r="C153" t="s">
        <v>471</v>
      </c>
      <c r="D153" t="s">
        <v>549</v>
      </c>
      <c r="E153" t="s">
        <v>553</v>
      </c>
      <c r="F153" t="s">
        <v>557</v>
      </c>
      <c r="G153">
        <v>1</v>
      </c>
      <c r="H153">
        <v>788</v>
      </c>
      <c r="I153">
        <v>788</v>
      </c>
      <c r="J153" s="7">
        <v>196.01</v>
      </c>
      <c r="K153">
        <f>Table1_1[[#This Row],[Sales]]/Table1_1[[#This Row],[Profit2]]*100</f>
        <v>402.02030508647522</v>
      </c>
    </row>
    <row r="154" spans="1:11" x14ac:dyDescent="0.25">
      <c r="A154" t="s">
        <v>162</v>
      </c>
      <c r="B154" s="4">
        <v>45404</v>
      </c>
      <c r="C154" t="s">
        <v>472</v>
      </c>
      <c r="D154" t="s">
        <v>551</v>
      </c>
      <c r="E154" t="s">
        <v>555</v>
      </c>
      <c r="F154" t="s">
        <v>575</v>
      </c>
      <c r="G154">
        <v>6</v>
      </c>
      <c r="H154">
        <v>2212</v>
      </c>
      <c r="I154">
        <v>13272</v>
      </c>
      <c r="J154" s="7">
        <v>5023.18</v>
      </c>
      <c r="K154">
        <f>Table1_1[[#This Row],[Sales]]/Table1_1[[#This Row],[Profit2]]*100</f>
        <v>264.21509880195413</v>
      </c>
    </row>
    <row r="155" spans="1:11" x14ac:dyDescent="0.25">
      <c r="A155" t="s">
        <v>163</v>
      </c>
      <c r="B155" s="4">
        <v>45480</v>
      </c>
      <c r="C155" t="s">
        <v>513</v>
      </c>
      <c r="D155" t="s">
        <v>549</v>
      </c>
      <c r="E155" t="s">
        <v>553</v>
      </c>
      <c r="F155" t="s">
        <v>571</v>
      </c>
      <c r="G155">
        <v>2</v>
      </c>
      <c r="H155">
        <v>1747</v>
      </c>
      <c r="I155">
        <v>3494</v>
      </c>
      <c r="J155" s="7">
        <v>1068.47</v>
      </c>
      <c r="K155">
        <f>Table1_1[[#This Row],[Sales]]/Table1_1[[#This Row],[Profit2]]*100</f>
        <v>327.00964931163253</v>
      </c>
    </row>
    <row r="156" spans="1:11" x14ac:dyDescent="0.25">
      <c r="A156" t="s">
        <v>164</v>
      </c>
      <c r="B156" s="4">
        <v>45605</v>
      </c>
      <c r="C156" t="s">
        <v>514</v>
      </c>
      <c r="D156" t="s">
        <v>551</v>
      </c>
      <c r="E156" t="s">
        <v>555</v>
      </c>
      <c r="F156" t="s">
        <v>575</v>
      </c>
      <c r="G156">
        <v>5</v>
      </c>
      <c r="H156">
        <v>494</v>
      </c>
      <c r="I156">
        <v>2470</v>
      </c>
      <c r="J156" s="7">
        <v>504.45</v>
      </c>
      <c r="K156">
        <f>Table1_1[[#This Row],[Sales]]/Table1_1[[#This Row],[Profit2]]*100</f>
        <v>489.64218455743884</v>
      </c>
    </row>
    <row r="157" spans="1:11" x14ac:dyDescent="0.25">
      <c r="A157" t="s">
        <v>165</v>
      </c>
      <c r="B157" s="4">
        <v>45454</v>
      </c>
      <c r="C157" t="s">
        <v>515</v>
      </c>
      <c r="D157" t="s">
        <v>552</v>
      </c>
      <c r="E157" t="s">
        <v>553</v>
      </c>
      <c r="F157" t="s">
        <v>562</v>
      </c>
      <c r="G157">
        <v>1</v>
      </c>
      <c r="H157">
        <v>2185</v>
      </c>
      <c r="I157">
        <v>2185</v>
      </c>
      <c r="J157" s="7">
        <v>498.7</v>
      </c>
      <c r="K157">
        <f>Table1_1[[#This Row],[Sales]]/Table1_1[[#This Row],[Profit2]]*100</f>
        <v>438.13916182073393</v>
      </c>
    </row>
    <row r="158" spans="1:11" x14ac:dyDescent="0.25">
      <c r="A158" t="s">
        <v>166</v>
      </c>
      <c r="B158" s="4">
        <v>45357</v>
      </c>
      <c r="C158" t="s">
        <v>473</v>
      </c>
      <c r="D158" t="s">
        <v>549</v>
      </c>
      <c r="E158" t="s">
        <v>553</v>
      </c>
      <c r="F158" t="s">
        <v>560</v>
      </c>
      <c r="G158">
        <v>7</v>
      </c>
      <c r="H158">
        <v>3317</v>
      </c>
      <c r="I158">
        <v>23219</v>
      </c>
      <c r="J158" s="7">
        <v>7873.05</v>
      </c>
      <c r="K158">
        <f>Table1_1[[#This Row],[Sales]]/Table1_1[[#This Row],[Profit2]]*100</f>
        <v>294.91747162789517</v>
      </c>
    </row>
    <row r="159" spans="1:11" x14ac:dyDescent="0.25">
      <c r="A159" t="s">
        <v>167</v>
      </c>
      <c r="B159" s="4">
        <v>45402</v>
      </c>
      <c r="C159" t="s">
        <v>462</v>
      </c>
      <c r="D159" t="s">
        <v>552</v>
      </c>
      <c r="E159" t="s">
        <v>556</v>
      </c>
      <c r="F159" t="s">
        <v>569</v>
      </c>
      <c r="G159">
        <v>1</v>
      </c>
      <c r="H159">
        <v>1890</v>
      </c>
      <c r="I159">
        <v>1890</v>
      </c>
      <c r="J159" s="7">
        <v>727.2</v>
      </c>
      <c r="K159">
        <f>Table1_1[[#This Row],[Sales]]/Table1_1[[#This Row],[Profit2]]*100</f>
        <v>259.90099009900985</v>
      </c>
    </row>
    <row r="160" spans="1:11" x14ac:dyDescent="0.25">
      <c r="A160" t="s">
        <v>168</v>
      </c>
      <c r="B160" s="4">
        <v>45531</v>
      </c>
      <c r="C160" t="s">
        <v>516</v>
      </c>
      <c r="D160" t="s">
        <v>551</v>
      </c>
      <c r="E160" t="s">
        <v>553</v>
      </c>
      <c r="F160" t="s">
        <v>557</v>
      </c>
      <c r="G160">
        <v>4</v>
      </c>
      <c r="H160">
        <v>1336</v>
      </c>
      <c r="I160">
        <v>5344</v>
      </c>
      <c r="J160" s="7">
        <v>782.99</v>
      </c>
      <c r="K160">
        <f>Table1_1[[#This Row],[Sales]]/Table1_1[[#This Row],[Profit2]]*100</f>
        <v>682.51190947521673</v>
      </c>
    </row>
    <row r="161" spans="1:11" x14ac:dyDescent="0.25">
      <c r="A161" t="s">
        <v>169</v>
      </c>
      <c r="B161" s="4">
        <v>45388</v>
      </c>
      <c r="C161" t="s">
        <v>472</v>
      </c>
      <c r="D161" t="s">
        <v>550</v>
      </c>
      <c r="E161" t="s">
        <v>556</v>
      </c>
      <c r="F161" t="s">
        <v>565</v>
      </c>
      <c r="G161">
        <v>9</v>
      </c>
      <c r="H161">
        <v>2264</v>
      </c>
      <c r="I161">
        <v>20376</v>
      </c>
      <c r="J161" s="7">
        <v>6897.26</v>
      </c>
      <c r="K161">
        <f>Table1_1[[#This Row],[Sales]]/Table1_1[[#This Row],[Profit2]]*100</f>
        <v>295.42166019549791</v>
      </c>
    </row>
    <row r="162" spans="1:11" x14ac:dyDescent="0.25">
      <c r="A162" t="s">
        <v>170</v>
      </c>
      <c r="B162" s="4">
        <v>45416</v>
      </c>
      <c r="C162" t="s">
        <v>459</v>
      </c>
      <c r="D162" t="s">
        <v>549</v>
      </c>
      <c r="E162" t="s">
        <v>553</v>
      </c>
      <c r="F162" t="s">
        <v>571</v>
      </c>
      <c r="G162">
        <v>1</v>
      </c>
      <c r="H162">
        <v>4655</v>
      </c>
      <c r="I162">
        <v>4655</v>
      </c>
      <c r="J162" s="7">
        <v>1054.3900000000001</v>
      </c>
      <c r="K162">
        <f>Table1_1[[#This Row],[Sales]]/Table1_1[[#This Row],[Profit2]]*100</f>
        <v>441.48749513936963</v>
      </c>
    </row>
    <row r="163" spans="1:11" x14ac:dyDescent="0.25">
      <c r="A163" t="s">
        <v>171</v>
      </c>
      <c r="B163" s="4">
        <v>45527</v>
      </c>
      <c r="C163" t="s">
        <v>517</v>
      </c>
      <c r="D163" t="s">
        <v>551</v>
      </c>
      <c r="E163" t="s">
        <v>554</v>
      </c>
      <c r="F163" t="s">
        <v>558</v>
      </c>
      <c r="G163">
        <v>4</v>
      </c>
      <c r="H163">
        <v>4995</v>
      </c>
      <c r="I163">
        <v>19980</v>
      </c>
      <c r="J163" s="7">
        <v>2397.66</v>
      </c>
      <c r="K163">
        <f>Table1_1[[#This Row],[Sales]]/Table1_1[[#This Row],[Profit2]]*100</f>
        <v>833.31247966767603</v>
      </c>
    </row>
    <row r="164" spans="1:11" x14ac:dyDescent="0.25">
      <c r="A164" t="s">
        <v>172</v>
      </c>
      <c r="B164" s="4">
        <v>45433</v>
      </c>
      <c r="C164" t="s">
        <v>518</v>
      </c>
      <c r="D164" t="s">
        <v>550</v>
      </c>
      <c r="E164" t="s">
        <v>554</v>
      </c>
      <c r="F164" t="s">
        <v>573</v>
      </c>
      <c r="G164">
        <v>6</v>
      </c>
      <c r="H164">
        <v>4743</v>
      </c>
      <c r="I164">
        <v>28458</v>
      </c>
      <c r="J164" s="7">
        <v>2853.82</v>
      </c>
      <c r="K164">
        <f>Table1_1[[#This Row],[Sales]]/Table1_1[[#This Row],[Profit2]]*100</f>
        <v>997.18973165791806</v>
      </c>
    </row>
    <row r="165" spans="1:11" x14ac:dyDescent="0.25">
      <c r="A165" t="s">
        <v>173</v>
      </c>
      <c r="B165" s="4">
        <v>45542</v>
      </c>
      <c r="C165" t="s">
        <v>477</v>
      </c>
      <c r="D165" t="s">
        <v>550</v>
      </c>
      <c r="E165" t="s">
        <v>554</v>
      </c>
      <c r="F165" t="s">
        <v>572</v>
      </c>
      <c r="G165">
        <v>6</v>
      </c>
      <c r="H165">
        <v>4970</v>
      </c>
      <c r="I165">
        <v>29820</v>
      </c>
      <c r="J165" s="7">
        <v>8853.83</v>
      </c>
      <c r="K165">
        <f>Table1_1[[#This Row],[Sales]]/Table1_1[[#This Row],[Profit2]]*100</f>
        <v>336.80339468907806</v>
      </c>
    </row>
    <row r="166" spans="1:11" x14ac:dyDescent="0.25">
      <c r="A166" t="s">
        <v>174</v>
      </c>
      <c r="B166" s="4">
        <v>45636</v>
      </c>
      <c r="C166" t="s">
        <v>502</v>
      </c>
      <c r="D166" t="s">
        <v>552</v>
      </c>
      <c r="E166" t="s">
        <v>553</v>
      </c>
      <c r="F166" t="s">
        <v>571</v>
      </c>
      <c r="G166">
        <v>8</v>
      </c>
      <c r="H166">
        <v>1207</v>
      </c>
      <c r="I166">
        <v>9656</v>
      </c>
      <c r="J166" s="7">
        <v>3592.64</v>
      </c>
      <c r="K166">
        <f>Table1_1[[#This Row],[Sales]]/Table1_1[[#This Row],[Profit2]]*100</f>
        <v>268.77171105370985</v>
      </c>
    </row>
    <row r="167" spans="1:11" x14ac:dyDescent="0.25">
      <c r="A167" t="s">
        <v>175</v>
      </c>
      <c r="B167" s="4">
        <v>45412</v>
      </c>
      <c r="C167" t="s">
        <v>492</v>
      </c>
      <c r="D167" t="s">
        <v>551</v>
      </c>
      <c r="E167" t="s">
        <v>556</v>
      </c>
      <c r="F167" t="s">
        <v>565</v>
      </c>
      <c r="G167">
        <v>1</v>
      </c>
      <c r="H167">
        <v>2714</v>
      </c>
      <c r="I167">
        <v>2714</v>
      </c>
      <c r="J167" s="7">
        <v>435.46</v>
      </c>
      <c r="K167">
        <f>Table1_1[[#This Row],[Sales]]/Table1_1[[#This Row],[Profit2]]*100</f>
        <v>623.24897809213246</v>
      </c>
    </row>
    <row r="168" spans="1:11" x14ac:dyDescent="0.25">
      <c r="A168" t="s">
        <v>176</v>
      </c>
      <c r="B168" s="4">
        <v>45578</v>
      </c>
      <c r="C168" t="s">
        <v>421</v>
      </c>
      <c r="D168" t="s">
        <v>550</v>
      </c>
      <c r="E168" t="s">
        <v>556</v>
      </c>
      <c r="F168" t="s">
        <v>561</v>
      </c>
      <c r="G168">
        <v>7</v>
      </c>
      <c r="H168">
        <v>3726</v>
      </c>
      <c r="I168">
        <v>26082</v>
      </c>
      <c r="J168" s="7">
        <v>7486.07</v>
      </c>
      <c r="K168">
        <f>Table1_1[[#This Row],[Sales]]/Table1_1[[#This Row],[Profit2]]*100</f>
        <v>348.40710813551038</v>
      </c>
    </row>
    <row r="169" spans="1:11" x14ac:dyDescent="0.25">
      <c r="A169" t="s">
        <v>177</v>
      </c>
      <c r="B169" s="4">
        <v>45620</v>
      </c>
      <c r="C169" t="s">
        <v>425</v>
      </c>
      <c r="D169" t="s">
        <v>549</v>
      </c>
      <c r="E169" t="s">
        <v>553</v>
      </c>
      <c r="F169" t="s">
        <v>562</v>
      </c>
      <c r="G169">
        <v>1</v>
      </c>
      <c r="H169">
        <v>4881</v>
      </c>
      <c r="I169">
        <v>4881</v>
      </c>
      <c r="J169" s="7">
        <v>853.92</v>
      </c>
      <c r="K169">
        <f>Table1_1[[#This Row],[Sales]]/Table1_1[[#This Row],[Profit2]]*100</f>
        <v>571.59921304103432</v>
      </c>
    </row>
    <row r="170" spans="1:11" x14ac:dyDescent="0.25">
      <c r="A170" t="s">
        <v>178</v>
      </c>
      <c r="B170" s="4">
        <v>45547</v>
      </c>
      <c r="C170" t="s">
        <v>509</v>
      </c>
      <c r="D170" t="s">
        <v>549</v>
      </c>
      <c r="E170" t="s">
        <v>554</v>
      </c>
      <c r="F170" t="s">
        <v>558</v>
      </c>
      <c r="G170">
        <v>7</v>
      </c>
      <c r="H170">
        <v>1447</v>
      </c>
      <c r="I170">
        <v>10129</v>
      </c>
      <c r="J170" s="7">
        <v>1765.63</v>
      </c>
      <c r="K170">
        <f>Table1_1[[#This Row],[Sales]]/Table1_1[[#This Row],[Profit2]]*100</f>
        <v>573.67625153627876</v>
      </c>
    </row>
    <row r="171" spans="1:11" x14ac:dyDescent="0.25">
      <c r="A171" t="s">
        <v>179</v>
      </c>
      <c r="B171" s="4">
        <v>45467</v>
      </c>
      <c r="C171" t="s">
        <v>411</v>
      </c>
      <c r="D171" t="s">
        <v>552</v>
      </c>
      <c r="E171" t="s">
        <v>554</v>
      </c>
      <c r="F171" t="s">
        <v>572</v>
      </c>
      <c r="G171">
        <v>3</v>
      </c>
      <c r="H171">
        <v>4102</v>
      </c>
      <c r="I171">
        <v>12306</v>
      </c>
      <c r="J171" s="7">
        <v>2690.83</v>
      </c>
      <c r="K171">
        <f>Table1_1[[#This Row],[Sales]]/Table1_1[[#This Row],[Profit2]]*100</f>
        <v>457.33100939115445</v>
      </c>
    </row>
    <row r="172" spans="1:11" x14ac:dyDescent="0.25">
      <c r="A172" t="s">
        <v>180</v>
      </c>
      <c r="B172" s="4">
        <v>45650</v>
      </c>
      <c r="C172" t="s">
        <v>436</v>
      </c>
      <c r="D172" t="s">
        <v>550</v>
      </c>
      <c r="E172" t="s">
        <v>556</v>
      </c>
      <c r="F172" t="s">
        <v>565</v>
      </c>
      <c r="G172">
        <v>8</v>
      </c>
      <c r="H172">
        <v>1635</v>
      </c>
      <c r="I172">
        <v>13080</v>
      </c>
      <c r="J172" s="7">
        <v>2225.5500000000002</v>
      </c>
      <c r="K172">
        <f>Table1_1[[#This Row],[Sales]]/Table1_1[[#This Row],[Profit2]]*100</f>
        <v>587.71988946552528</v>
      </c>
    </row>
    <row r="173" spans="1:11" x14ac:dyDescent="0.25">
      <c r="A173" t="s">
        <v>181</v>
      </c>
      <c r="B173" s="4">
        <v>45424</v>
      </c>
      <c r="C173" t="s">
        <v>519</v>
      </c>
      <c r="D173" t="s">
        <v>551</v>
      </c>
      <c r="E173" t="s">
        <v>554</v>
      </c>
      <c r="F173" t="s">
        <v>574</v>
      </c>
      <c r="G173">
        <v>3</v>
      </c>
      <c r="H173">
        <v>771</v>
      </c>
      <c r="I173">
        <v>2313</v>
      </c>
      <c r="J173" s="7">
        <v>847.36</v>
      </c>
      <c r="K173">
        <f>Table1_1[[#This Row],[Sales]]/Table1_1[[#This Row],[Profit2]]*100</f>
        <v>272.96544561933536</v>
      </c>
    </row>
    <row r="174" spans="1:11" x14ac:dyDescent="0.25">
      <c r="A174" t="s">
        <v>182</v>
      </c>
      <c r="B174" s="4">
        <v>45618</v>
      </c>
      <c r="C174" t="s">
        <v>520</v>
      </c>
      <c r="D174" t="s">
        <v>549</v>
      </c>
      <c r="E174" t="s">
        <v>555</v>
      </c>
      <c r="F174" t="s">
        <v>567</v>
      </c>
      <c r="G174">
        <v>1</v>
      </c>
      <c r="H174">
        <v>2582</v>
      </c>
      <c r="I174">
        <v>2582</v>
      </c>
      <c r="J174" s="7">
        <v>440.84</v>
      </c>
      <c r="K174">
        <f>Table1_1[[#This Row],[Sales]]/Table1_1[[#This Row],[Profit2]]*100</f>
        <v>585.70002722076038</v>
      </c>
    </row>
    <row r="175" spans="1:11" x14ac:dyDescent="0.25">
      <c r="A175" t="s">
        <v>183</v>
      </c>
      <c r="B175" s="4">
        <v>45304</v>
      </c>
      <c r="C175" t="s">
        <v>480</v>
      </c>
      <c r="D175" t="s">
        <v>550</v>
      </c>
      <c r="E175" t="s">
        <v>556</v>
      </c>
      <c r="F175" t="s">
        <v>561</v>
      </c>
      <c r="G175">
        <v>8</v>
      </c>
      <c r="H175">
        <v>1445</v>
      </c>
      <c r="I175">
        <v>11560</v>
      </c>
      <c r="J175" s="7">
        <v>1186.74</v>
      </c>
      <c r="K175">
        <f>Table1_1[[#This Row],[Sales]]/Table1_1[[#This Row],[Profit2]]*100</f>
        <v>974.09710635859574</v>
      </c>
    </row>
    <row r="176" spans="1:11" x14ac:dyDescent="0.25">
      <c r="A176" t="s">
        <v>184</v>
      </c>
      <c r="B176" s="4">
        <v>45458</v>
      </c>
      <c r="C176" t="s">
        <v>437</v>
      </c>
      <c r="D176" t="s">
        <v>550</v>
      </c>
      <c r="E176" t="s">
        <v>554</v>
      </c>
      <c r="F176" t="s">
        <v>558</v>
      </c>
      <c r="G176">
        <v>3</v>
      </c>
      <c r="H176">
        <v>2284</v>
      </c>
      <c r="I176">
        <v>6852</v>
      </c>
      <c r="J176" s="7">
        <v>697.89</v>
      </c>
      <c r="K176">
        <f>Table1_1[[#This Row],[Sales]]/Table1_1[[#This Row],[Profit2]]*100</f>
        <v>981.81661866483273</v>
      </c>
    </row>
    <row r="177" spans="1:11" x14ac:dyDescent="0.25">
      <c r="A177" t="s">
        <v>185</v>
      </c>
      <c r="B177" s="4">
        <v>45332</v>
      </c>
      <c r="C177" t="s">
        <v>494</v>
      </c>
      <c r="D177" t="s">
        <v>552</v>
      </c>
      <c r="E177" t="s">
        <v>556</v>
      </c>
      <c r="F177" t="s">
        <v>569</v>
      </c>
      <c r="G177">
        <v>2</v>
      </c>
      <c r="H177">
        <v>477</v>
      </c>
      <c r="I177">
        <v>954</v>
      </c>
      <c r="J177" s="7">
        <v>331.33</v>
      </c>
      <c r="K177">
        <f>Table1_1[[#This Row],[Sales]]/Table1_1[[#This Row],[Profit2]]*100</f>
        <v>287.93046207708329</v>
      </c>
    </row>
    <row r="178" spans="1:11" x14ac:dyDescent="0.25">
      <c r="A178" t="s">
        <v>186</v>
      </c>
      <c r="B178" s="4">
        <v>45300</v>
      </c>
      <c r="C178" t="s">
        <v>482</v>
      </c>
      <c r="D178" t="s">
        <v>549</v>
      </c>
      <c r="E178" t="s">
        <v>555</v>
      </c>
      <c r="F178" t="s">
        <v>559</v>
      </c>
      <c r="G178">
        <v>1</v>
      </c>
      <c r="H178">
        <v>2087</v>
      </c>
      <c r="I178">
        <v>2087</v>
      </c>
      <c r="J178" s="7">
        <v>801.16</v>
      </c>
      <c r="K178">
        <f>Table1_1[[#This Row],[Sales]]/Table1_1[[#This Row],[Profit2]]*100</f>
        <v>260.49727894552899</v>
      </c>
    </row>
    <row r="179" spans="1:11" x14ac:dyDescent="0.25">
      <c r="A179" t="s">
        <v>187</v>
      </c>
      <c r="B179" s="4">
        <v>45304</v>
      </c>
      <c r="C179" t="s">
        <v>514</v>
      </c>
      <c r="D179" t="s">
        <v>549</v>
      </c>
      <c r="E179" t="s">
        <v>556</v>
      </c>
      <c r="F179" t="s">
        <v>565</v>
      </c>
      <c r="G179">
        <v>3</v>
      </c>
      <c r="H179">
        <v>4779</v>
      </c>
      <c r="I179">
        <v>14337</v>
      </c>
      <c r="J179" s="7">
        <v>1466.74</v>
      </c>
      <c r="K179">
        <f>Table1_1[[#This Row],[Sales]]/Table1_1[[#This Row],[Profit2]]*100</f>
        <v>977.47385358004829</v>
      </c>
    </row>
    <row r="180" spans="1:11" x14ac:dyDescent="0.25">
      <c r="A180" t="s">
        <v>188</v>
      </c>
      <c r="B180" s="4">
        <v>45402</v>
      </c>
      <c r="C180" t="s">
        <v>521</v>
      </c>
      <c r="D180" t="s">
        <v>551</v>
      </c>
      <c r="E180" t="s">
        <v>556</v>
      </c>
      <c r="F180" t="s">
        <v>569</v>
      </c>
      <c r="G180">
        <v>2</v>
      </c>
      <c r="H180">
        <v>1465</v>
      </c>
      <c r="I180">
        <v>2930</v>
      </c>
      <c r="J180" s="7">
        <v>892.53</v>
      </c>
      <c r="K180">
        <f>Table1_1[[#This Row],[Sales]]/Table1_1[[#This Row],[Profit2]]*100</f>
        <v>328.28028189528646</v>
      </c>
    </row>
    <row r="181" spans="1:11" x14ac:dyDescent="0.25">
      <c r="A181" t="s">
        <v>189</v>
      </c>
      <c r="B181" s="4">
        <v>45308</v>
      </c>
      <c r="C181" t="s">
        <v>522</v>
      </c>
      <c r="D181" t="s">
        <v>549</v>
      </c>
      <c r="E181" t="s">
        <v>556</v>
      </c>
      <c r="F181" t="s">
        <v>569</v>
      </c>
      <c r="G181">
        <v>2</v>
      </c>
      <c r="H181">
        <v>1240</v>
      </c>
      <c r="I181">
        <v>2480</v>
      </c>
      <c r="J181" s="7">
        <v>389.55</v>
      </c>
      <c r="K181">
        <f>Table1_1[[#This Row],[Sales]]/Table1_1[[#This Row],[Profit2]]*100</f>
        <v>636.63201129508411</v>
      </c>
    </row>
    <row r="182" spans="1:11" x14ac:dyDescent="0.25">
      <c r="A182" t="s">
        <v>190</v>
      </c>
      <c r="B182" s="4">
        <v>45422</v>
      </c>
      <c r="C182" t="s">
        <v>417</v>
      </c>
      <c r="D182" t="s">
        <v>551</v>
      </c>
      <c r="E182" t="s">
        <v>556</v>
      </c>
      <c r="F182" t="s">
        <v>561</v>
      </c>
      <c r="G182">
        <v>6</v>
      </c>
      <c r="H182">
        <v>1117</v>
      </c>
      <c r="I182">
        <v>6702</v>
      </c>
      <c r="J182" s="7">
        <v>1750.23</v>
      </c>
      <c r="K182">
        <f>Table1_1[[#This Row],[Sales]]/Table1_1[[#This Row],[Profit2]]*100</f>
        <v>382.92110179804939</v>
      </c>
    </row>
    <row r="183" spans="1:11" x14ac:dyDescent="0.25">
      <c r="A183" t="s">
        <v>191</v>
      </c>
      <c r="B183" s="4">
        <v>45548</v>
      </c>
      <c r="C183" t="s">
        <v>523</v>
      </c>
      <c r="D183" t="s">
        <v>549</v>
      </c>
      <c r="E183" t="s">
        <v>555</v>
      </c>
      <c r="F183" t="s">
        <v>570</v>
      </c>
      <c r="G183">
        <v>1</v>
      </c>
      <c r="H183">
        <v>1085</v>
      </c>
      <c r="I183">
        <v>1085</v>
      </c>
      <c r="J183" s="7">
        <v>250.19</v>
      </c>
      <c r="K183">
        <f>Table1_1[[#This Row],[Sales]]/Table1_1[[#This Row],[Profit2]]*100</f>
        <v>433.67041048802912</v>
      </c>
    </row>
    <row r="184" spans="1:11" x14ac:dyDescent="0.25">
      <c r="A184" t="s">
        <v>192</v>
      </c>
      <c r="B184" s="4">
        <v>45307</v>
      </c>
      <c r="C184" t="s">
        <v>524</v>
      </c>
      <c r="D184" t="s">
        <v>552</v>
      </c>
      <c r="E184" t="s">
        <v>553</v>
      </c>
      <c r="F184" t="s">
        <v>560</v>
      </c>
      <c r="G184">
        <v>2</v>
      </c>
      <c r="H184">
        <v>2952</v>
      </c>
      <c r="I184">
        <v>5904</v>
      </c>
      <c r="J184" s="7">
        <v>1348.79</v>
      </c>
      <c r="K184">
        <f>Table1_1[[#This Row],[Sales]]/Table1_1[[#This Row],[Profit2]]*100</f>
        <v>437.72566522586914</v>
      </c>
    </row>
    <row r="185" spans="1:11" x14ac:dyDescent="0.25">
      <c r="A185" t="s">
        <v>193</v>
      </c>
      <c r="B185" s="4">
        <v>45492</v>
      </c>
      <c r="C185" t="s">
        <v>500</v>
      </c>
      <c r="D185" t="s">
        <v>549</v>
      </c>
      <c r="E185" t="s">
        <v>556</v>
      </c>
      <c r="F185" t="s">
        <v>569</v>
      </c>
      <c r="G185">
        <v>6</v>
      </c>
      <c r="H185">
        <v>221</v>
      </c>
      <c r="I185">
        <v>1326</v>
      </c>
      <c r="J185" s="7">
        <v>167.63</v>
      </c>
      <c r="K185">
        <f>Table1_1[[#This Row],[Sales]]/Table1_1[[#This Row],[Profit2]]*100</f>
        <v>791.02785897512376</v>
      </c>
    </row>
    <row r="186" spans="1:11" x14ac:dyDescent="0.25">
      <c r="A186" t="s">
        <v>194</v>
      </c>
      <c r="B186" s="4">
        <v>45490</v>
      </c>
      <c r="C186" t="s">
        <v>422</v>
      </c>
      <c r="D186" t="s">
        <v>551</v>
      </c>
      <c r="E186" t="s">
        <v>556</v>
      </c>
      <c r="F186" t="s">
        <v>569</v>
      </c>
      <c r="G186">
        <v>3</v>
      </c>
      <c r="H186">
        <v>4769</v>
      </c>
      <c r="I186">
        <v>14307</v>
      </c>
      <c r="J186" s="7">
        <v>4793.58</v>
      </c>
      <c r="K186">
        <f>Table1_1[[#This Row],[Sales]]/Table1_1[[#This Row],[Profit2]]*100</f>
        <v>298.46169251373709</v>
      </c>
    </row>
    <row r="187" spans="1:11" x14ac:dyDescent="0.25">
      <c r="A187" t="s">
        <v>195</v>
      </c>
      <c r="B187" s="4">
        <v>45509</v>
      </c>
      <c r="C187" t="s">
        <v>443</v>
      </c>
      <c r="D187" t="s">
        <v>551</v>
      </c>
      <c r="E187" t="s">
        <v>554</v>
      </c>
      <c r="F187" t="s">
        <v>574</v>
      </c>
      <c r="G187">
        <v>4</v>
      </c>
      <c r="H187">
        <v>3391</v>
      </c>
      <c r="I187">
        <v>13564</v>
      </c>
      <c r="J187" s="7">
        <v>1403.16</v>
      </c>
      <c r="K187">
        <f>Table1_1[[#This Row],[Sales]]/Table1_1[[#This Row],[Profit2]]*100</f>
        <v>966.67521879186961</v>
      </c>
    </row>
    <row r="188" spans="1:11" x14ac:dyDescent="0.25">
      <c r="A188" t="s">
        <v>196</v>
      </c>
      <c r="B188" s="4">
        <v>45572</v>
      </c>
      <c r="C188" t="s">
        <v>521</v>
      </c>
      <c r="D188" t="s">
        <v>552</v>
      </c>
      <c r="E188" t="s">
        <v>556</v>
      </c>
      <c r="F188" t="s">
        <v>568</v>
      </c>
      <c r="G188">
        <v>1</v>
      </c>
      <c r="H188">
        <v>2553</v>
      </c>
      <c r="I188">
        <v>2553</v>
      </c>
      <c r="J188" s="7">
        <v>927.71</v>
      </c>
      <c r="K188">
        <f>Table1_1[[#This Row],[Sales]]/Table1_1[[#This Row],[Profit2]]*100</f>
        <v>275.19375666964891</v>
      </c>
    </row>
    <row r="189" spans="1:11" x14ac:dyDescent="0.25">
      <c r="A189" t="s">
        <v>197</v>
      </c>
      <c r="B189" s="4">
        <v>45467</v>
      </c>
      <c r="C189" t="s">
        <v>514</v>
      </c>
      <c r="D189" t="s">
        <v>549</v>
      </c>
      <c r="E189" t="s">
        <v>554</v>
      </c>
      <c r="F189" t="s">
        <v>573</v>
      </c>
      <c r="G189">
        <v>8</v>
      </c>
      <c r="H189">
        <v>4999</v>
      </c>
      <c r="I189">
        <v>39992</v>
      </c>
      <c r="J189" s="7">
        <v>12467.95</v>
      </c>
      <c r="K189">
        <f>Table1_1[[#This Row],[Sales]]/Table1_1[[#This Row],[Profit2]]*100</f>
        <v>320.75842460067611</v>
      </c>
    </row>
    <row r="190" spans="1:11" x14ac:dyDescent="0.25">
      <c r="A190" t="s">
        <v>198</v>
      </c>
      <c r="B190" s="4">
        <v>45631</v>
      </c>
      <c r="C190" t="s">
        <v>454</v>
      </c>
      <c r="D190" t="s">
        <v>549</v>
      </c>
      <c r="E190" t="s">
        <v>553</v>
      </c>
      <c r="F190" t="s">
        <v>557</v>
      </c>
      <c r="G190">
        <v>7</v>
      </c>
      <c r="H190">
        <v>886</v>
      </c>
      <c r="I190">
        <v>6202</v>
      </c>
      <c r="J190" s="7">
        <v>2229.58</v>
      </c>
      <c r="K190">
        <f>Table1_1[[#This Row],[Sales]]/Table1_1[[#This Row],[Profit2]]*100</f>
        <v>278.16898249894598</v>
      </c>
    </row>
    <row r="191" spans="1:11" x14ac:dyDescent="0.25">
      <c r="A191" t="s">
        <v>199</v>
      </c>
      <c r="B191" s="4">
        <v>45370</v>
      </c>
      <c r="C191" t="s">
        <v>463</v>
      </c>
      <c r="D191" t="s">
        <v>552</v>
      </c>
      <c r="E191" t="s">
        <v>555</v>
      </c>
      <c r="F191" t="s">
        <v>570</v>
      </c>
      <c r="G191">
        <v>7</v>
      </c>
      <c r="H191">
        <v>484</v>
      </c>
      <c r="I191">
        <v>3388</v>
      </c>
      <c r="J191" s="7">
        <v>1352.33</v>
      </c>
      <c r="K191">
        <f>Table1_1[[#This Row],[Sales]]/Table1_1[[#This Row],[Profit2]]*100</f>
        <v>250.53056576427352</v>
      </c>
    </row>
    <row r="192" spans="1:11" x14ac:dyDescent="0.25">
      <c r="A192" t="s">
        <v>200</v>
      </c>
      <c r="B192" s="4">
        <v>45548</v>
      </c>
      <c r="C192" t="s">
        <v>425</v>
      </c>
      <c r="D192" t="s">
        <v>549</v>
      </c>
      <c r="E192" t="s">
        <v>555</v>
      </c>
      <c r="F192" t="s">
        <v>567</v>
      </c>
      <c r="G192">
        <v>3</v>
      </c>
      <c r="H192">
        <v>3947</v>
      </c>
      <c r="I192">
        <v>11841</v>
      </c>
      <c r="J192" s="7">
        <v>1457.22</v>
      </c>
      <c r="K192">
        <f>Table1_1[[#This Row],[Sales]]/Table1_1[[#This Row],[Profit2]]*100</f>
        <v>812.57462840202572</v>
      </c>
    </row>
    <row r="193" spans="1:11" x14ac:dyDescent="0.25">
      <c r="A193" t="s">
        <v>201</v>
      </c>
      <c r="B193" s="4">
        <v>45417</v>
      </c>
      <c r="C193" t="s">
        <v>525</v>
      </c>
      <c r="D193" t="s">
        <v>549</v>
      </c>
      <c r="E193" t="s">
        <v>553</v>
      </c>
      <c r="F193" t="s">
        <v>557</v>
      </c>
      <c r="G193">
        <v>3</v>
      </c>
      <c r="H193">
        <v>962</v>
      </c>
      <c r="I193">
        <v>2886</v>
      </c>
      <c r="J193" s="7">
        <v>712.04</v>
      </c>
      <c r="K193">
        <f>Table1_1[[#This Row],[Sales]]/Table1_1[[#This Row],[Profit2]]*100</f>
        <v>405.31430818493345</v>
      </c>
    </row>
    <row r="194" spans="1:11" x14ac:dyDescent="0.25">
      <c r="A194" t="s">
        <v>202</v>
      </c>
      <c r="B194" s="4">
        <v>45306</v>
      </c>
      <c r="C194" t="s">
        <v>507</v>
      </c>
      <c r="D194" t="s">
        <v>551</v>
      </c>
      <c r="E194" t="s">
        <v>555</v>
      </c>
      <c r="F194" t="s">
        <v>566</v>
      </c>
      <c r="G194">
        <v>2</v>
      </c>
      <c r="H194">
        <v>2628</v>
      </c>
      <c r="I194">
        <v>5256</v>
      </c>
      <c r="J194" s="7">
        <v>931.39</v>
      </c>
      <c r="K194">
        <f>Table1_1[[#This Row],[Sales]]/Table1_1[[#This Row],[Profit2]]*100</f>
        <v>564.31784751822545</v>
      </c>
    </row>
    <row r="195" spans="1:11" x14ac:dyDescent="0.25">
      <c r="A195" t="s">
        <v>203</v>
      </c>
      <c r="B195" s="4">
        <v>45330</v>
      </c>
      <c r="C195" t="s">
        <v>494</v>
      </c>
      <c r="D195" t="s">
        <v>549</v>
      </c>
      <c r="E195" t="s">
        <v>553</v>
      </c>
      <c r="F195" t="s">
        <v>560</v>
      </c>
      <c r="G195">
        <v>1</v>
      </c>
      <c r="H195">
        <v>2707</v>
      </c>
      <c r="I195">
        <v>2707</v>
      </c>
      <c r="J195" s="7">
        <v>440.69</v>
      </c>
      <c r="K195">
        <f>Table1_1[[#This Row],[Sales]]/Table1_1[[#This Row],[Profit2]]*100</f>
        <v>614.26399509859539</v>
      </c>
    </row>
    <row r="196" spans="1:11" x14ac:dyDescent="0.25">
      <c r="A196" t="s">
        <v>204</v>
      </c>
      <c r="B196" s="4">
        <v>45533</v>
      </c>
      <c r="C196" t="s">
        <v>526</v>
      </c>
      <c r="D196" t="s">
        <v>549</v>
      </c>
      <c r="E196" t="s">
        <v>553</v>
      </c>
      <c r="F196" t="s">
        <v>560</v>
      </c>
      <c r="G196">
        <v>7</v>
      </c>
      <c r="H196">
        <v>228</v>
      </c>
      <c r="I196">
        <v>1596</v>
      </c>
      <c r="J196" s="7">
        <v>608.70000000000005</v>
      </c>
      <c r="K196">
        <f>Table1_1[[#This Row],[Sales]]/Table1_1[[#This Row],[Profit2]]*100</f>
        <v>262.19812715623459</v>
      </c>
    </row>
    <row r="197" spans="1:11" x14ac:dyDescent="0.25">
      <c r="A197" t="s">
        <v>205</v>
      </c>
      <c r="B197" s="4">
        <v>45447</v>
      </c>
      <c r="C197" t="s">
        <v>491</v>
      </c>
      <c r="D197" t="s">
        <v>552</v>
      </c>
      <c r="E197" t="s">
        <v>553</v>
      </c>
      <c r="F197" t="s">
        <v>576</v>
      </c>
      <c r="G197">
        <v>7</v>
      </c>
      <c r="H197">
        <v>1106</v>
      </c>
      <c r="I197">
        <v>7742</v>
      </c>
      <c r="J197" s="7">
        <v>1220.23</v>
      </c>
      <c r="K197">
        <f>Table1_1[[#This Row],[Sales]]/Table1_1[[#This Row],[Profit2]]*100</f>
        <v>634.47055063389689</v>
      </c>
    </row>
    <row r="198" spans="1:11" x14ac:dyDescent="0.25">
      <c r="A198" t="s">
        <v>206</v>
      </c>
      <c r="B198" s="4">
        <v>45564</v>
      </c>
      <c r="C198" t="s">
        <v>506</v>
      </c>
      <c r="D198" t="s">
        <v>552</v>
      </c>
      <c r="E198" t="s">
        <v>555</v>
      </c>
      <c r="F198" t="s">
        <v>567</v>
      </c>
      <c r="G198">
        <v>2</v>
      </c>
      <c r="H198">
        <v>3304</v>
      </c>
      <c r="I198">
        <v>6608</v>
      </c>
      <c r="J198" s="7">
        <v>1886.39</v>
      </c>
      <c r="K198">
        <f>Table1_1[[#This Row],[Sales]]/Table1_1[[#This Row],[Profit2]]*100</f>
        <v>350.29871871670224</v>
      </c>
    </row>
    <row r="199" spans="1:11" x14ac:dyDescent="0.25">
      <c r="A199" t="s">
        <v>207</v>
      </c>
      <c r="B199" s="4">
        <v>45465</v>
      </c>
      <c r="C199" t="s">
        <v>527</v>
      </c>
      <c r="D199" t="s">
        <v>550</v>
      </c>
      <c r="E199" t="s">
        <v>554</v>
      </c>
      <c r="F199" t="s">
        <v>558</v>
      </c>
      <c r="G199">
        <v>7</v>
      </c>
      <c r="H199">
        <v>4199</v>
      </c>
      <c r="I199">
        <v>29393</v>
      </c>
      <c r="J199" s="7">
        <v>5331.99</v>
      </c>
      <c r="K199">
        <f>Table1_1[[#This Row],[Sales]]/Table1_1[[#This Row],[Profit2]]*100</f>
        <v>551.25759800749813</v>
      </c>
    </row>
    <row r="200" spans="1:11" x14ac:dyDescent="0.25">
      <c r="A200" t="s">
        <v>208</v>
      </c>
      <c r="B200" s="4">
        <v>45380</v>
      </c>
      <c r="C200" t="s">
        <v>528</v>
      </c>
      <c r="D200" t="s">
        <v>551</v>
      </c>
      <c r="E200" t="s">
        <v>553</v>
      </c>
      <c r="F200" t="s">
        <v>571</v>
      </c>
      <c r="G200">
        <v>8</v>
      </c>
      <c r="H200">
        <v>3194</v>
      </c>
      <c r="I200">
        <v>25552</v>
      </c>
      <c r="J200" s="7">
        <v>5723.73</v>
      </c>
      <c r="K200">
        <f>Table1_1[[#This Row],[Sales]]/Table1_1[[#This Row],[Profit2]]*100</f>
        <v>446.42217574903083</v>
      </c>
    </row>
    <row r="201" spans="1:11" x14ac:dyDescent="0.25">
      <c r="A201" t="s">
        <v>209</v>
      </c>
      <c r="B201" s="4">
        <v>45455</v>
      </c>
      <c r="C201" t="s">
        <v>416</v>
      </c>
      <c r="D201" t="s">
        <v>549</v>
      </c>
      <c r="E201" t="s">
        <v>556</v>
      </c>
      <c r="F201" t="s">
        <v>563</v>
      </c>
      <c r="G201">
        <v>1</v>
      </c>
      <c r="H201">
        <v>2706</v>
      </c>
      <c r="I201">
        <v>2706</v>
      </c>
      <c r="J201" s="7">
        <v>736.27</v>
      </c>
      <c r="K201">
        <f>Table1_1[[#This Row],[Sales]]/Table1_1[[#This Row],[Profit2]]*100</f>
        <v>367.52821655099353</v>
      </c>
    </row>
    <row r="202" spans="1:11" x14ac:dyDescent="0.25">
      <c r="A202" t="s">
        <v>210</v>
      </c>
      <c r="B202" s="4">
        <v>45354</v>
      </c>
      <c r="C202" t="s">
        <v>517</v>
      </c>
      <c r="D202" t="s">
        <v>549</v>
      </c>
      <c r="E202" t="s">
        <v>555</v>
      </c>
      <c r="F202" t="s">
        <v>575</v>
      </c>
      <c r="G202">
        <v>9</v>
      </c>
      <c r="H202">
        <v>4865</v>
      </c>
      <c r="I202">
        <v>43785</v>
      </c>
      <c r="J202" s="7">
        <v>8641.74</v>
      </c>
      <c r="K202">
        <f>Table1_1[[#This Row],[Sales]]/Table1_1[[#This Row],[Profit2]]*100</f>
        <v>506.66879586749889</v>
      </c>
    </row>
    <row r="203" spans="1:11" x14ac:dyDescent="0.25">
      <c r="A203" t="s">
        <v>211</v>
      </c>
      <c r="B203" s="4">
        <v>45371</v>
      </c>
      <c r="C203" t="s">
        <v>462</v>
      </c>
      <c r="D203" t="s">
        <v>550</v>
      </c>
      <c r="E203" t="s">
        <v>553</v>
      </c>
      <c r="F203" t="s">
        <v>571</v>
      </c>
      <c r="G203">
        <v>7</v>
      </c>
      <c r="H203">
        <v>3809</v>
      </c>
      <c r="I203">
        <v>26663</v>
      </c>
      <c r="J203" s="7">
        <v>5468.26</v>
      </c>
      <c r="K203">
        <f>Table1_1[[#This Row],[Sales]]/Table1_1[[#This Row],[Profit2]]*100</f>
        <v>487.59568857369618</v>
      </c>
    </row>
    <row r="204" spans="1:11" x14ac:dyDescent="0.25">
      <c r="A204" t="s">
        <v>212</v>
      </c>
      <c r="B204" s="4">
        <v>45530</v>
      </c>
      <c r="C204" t="s">
        <v>477</v>
      </c>
      <c r="D204" t="s">
        <v>549</v>
      </c>
      <c r="E204" t="s">
        <v>553</v>
      </c>
      <c r="F204" t="s">
        <v>571</v>
      </c>
      <c r="G204">
        <v>3</v>
      </c>
      <c r="H204">
        <v>3753</v>
      </c>
      <c r="I204">
        <v>11259</v>
      </c>
      <c r="J204" s="7">
        <v>3984.86</v>
      </c>
      <c r="K204">
        <f>Table1_1[[#This Row],[Sales]]/Table1_1[[#This Row],[Profit2]]*100</f>
        <v>282.54443067008623</v>
      </c>
    </row>
    <row r="205" spans="1:11" x14ac:dyDescent="0.25">
      <c r="A205" t="s">
        <v>213</v>
      </c>
      <c r="B205" s="4">
        <v>45418</v>
      </c>
      <c r="C205" t="s">
        <v>433</v>
      </c>
      <c r="D205" t="s">
        <v>551</v>
      </c>
      <c r="E205" t="s">
        <v>556</v>
      </c>
      <c r="F205" t="s">
        <v>561</v>
      </c>
      <c r="G205">
        <v>8</v>
      </c>
      <c r="H205">
        <v>1653</v>
      </c>
      <c r="I205">
        <v>13224</v>
      </c>
      <c r="J205" s="7">
        <v>1586.12</v>
      </c>
      <c r="K205">
        <f>Table1_1[[#This Row],[Sales]]/Table1_1[[#This Row],[Profit2]]*100</f>
        <v>833.73263057019665</v>
      </c>
    </row>
    <row r="206" spans="1:11" x14ac:dyDescent="0.25">
      <c r="A206" t="s">
        <v>214</v>
      </c>
      <c r="B206" s="4">
        <v>45456</v>
      </c>
      <c r="C206" t="s">
        <v>437</v>
      </c>
      <c r="D206" t="s">
        <v>550</v>
      </c>
      <c r="E206" t="s">
        <v>554</v>
      </c>
      <c r="F206" t="s">
        <v>573</v>
      </c>
      <c r="G206">
        <v>7</v>
      </c>
      <c r="H206">
        <v>3556</v>
      </c>
      <c r="I206">
        <v>24892</v>
      </c>
      <c r="J206" s="7">
        <v>4014.91</v>
      </c>
      <c r="K206">
        <f>Table1_1[[#This Row],[Sales]]/Table1_1[[#This Row],[Profit2]]*100</f>
        <v>619.98899103591361</v>
      </c>
    </row>
    <row r="207" spans="1:11" x14ac:dyDescent="0.25">
      <c r="A207" t="s">
        <v>215</v>
      </c>
      <c r="B207" s="4">
        <v>45542</v>
      </c>
      <c r="C207" t="s">
        <v>417</v>
      </c>
      <c r="D207" t="s">
        <v>551</v>
      </c>
      <c r="E207" t="s">
        <v>554</v>
      </c>
      <c r="F207" t="s">
        <v>574</v>
      </c>
      <c r="G207">
        <v>8</v>
      </c>
      <c r="H207">
        <v>715</v>
      </c>
      <c r="I207">
        <v>5720</v>
      </c>
      <c r="J207" s="7">
        <v>1284.73</v>
      </c>
      <c r="K207">
        <f>Table1_1[[#This Row],[Sales]]/Table1_1[[#This Row],[Profit2]]*100</f>
        <v>445.22973698753827</v>
      </c>
    </row>
    <row r="208" spans="1:11" x14ac:dyDescent="0.25">
      <c r="A208" t="s">
        <v>216</v>
      </c>
      <c r="B208" s="4">
        <v>45442</v>
      </c>
      <c r="C208" t="s">
        <v>454</v>
      </c>
      <c r="D208" t="s">
        <v>550</v>
      </c>
      <c r="E208" t="s">
        <v>554</v>
      </c>
      <c r="F208" t="s">
        <v>564</v>
      </c>
      <c r="G208">
        <v>6</v>
      </c>
      <c r="H208">
        <v>238</v>
      </c>
      <c r="I208">
        <v>1428</v>
      </c>
      <c r="J208" s="7">
        <v>507.07</v>
      </c>
      <c r="K208">
        <f>Table1_1[[#This Row],[Sales]]/Table1_1[[#This Row],[Profit2]]*100</f>
        <v>281.61792257479243</v>
      </c>
    </row>
    <row r="209" spans="1:11" x14ac:dyDescent="0.25">
      <c r="A209" t="s">
        <v>217</v>
      </c>
      <c r="B209" s="4">
        <v>45566</v>
      </c>
      <c r="C209" t="s">
        <v>473</v>
      </c>
      <c r="D209" t="s">
        <v>550</v>
      </c>
      <c r="E209" t="s">
        <v>553</v>
      </c>
      <c r="F209" t="s">
        <v>557</v>
      </c>
      <c r="G209">
        <v>9</v>
      </c>
      <c r="H209">
        <v>3542</v>
      </c>
      <c r="I209">
        <v>31878</v>
      </c>
      <c r="J209" s="7">
        <v>6345.58</v>
      </c>
      <c r="K209">
        <f>Table1_1[[#This Row],[Sales]]/Table1_1[[#This Row],[Profit2]]*100</f>
        <v>502.36542601306741</v>
      </c>
    </row>
    <row r="210" spans="1:11" x14ac:dyDescent="0.25">
      <c r="A210" t="s">
        <v>218</v>
      </c>
      <c r="B210" s="4">
        <v>45485</v>
      </c>
      <c r="C210" t="s">
        <v>481</v>
      </c>
      <c r="D210" t="s">
        <v>552</v>
      </c>
      <c r="E210" t="s">
        <v>553</v>
      </c>
      <c r="F210" t="s">
        <v>576</v>
      </c>
      <c r="G210">
        <v>5</v>
      </c>
      <c r="H210">
        <v>1086</v>
      </c>
      <c r="I210">
        <v>5430</v>
      </c>
      <c r="J210" s="7">
        <v>2114.81</v>
      </c>
      <c r="K210">
        <f>Table1_1[[#This Row],[Sales]]/Table1_1[[#This Row],[Profit2]]*100</f>
        <v>256.76065462145539</v>
      </c>
    </row>
    <row r="211" spans="1:11" x14ac:dyDescent="0.25">
      <c r="A211" t="s">
        <v>219</v>
      </c>
      <c r="B211" s="4">
        <v>45602</v>
      </c>
      <c r="C211" t="s">
        <v>451</v>
      </c>
      <c r="D211" t="s">
        <v>551</v>
      </c>
      <c r="E211" t="s">
        <v>553</v>
      </c>
      <c r="F211" t="s">
        <v>560</v>
      </c>
      <c r="G211">
        <v>3</v>
      </c>
      <c r="H211">
        <v>3044</v>
      </c>
      <c r="I211">
        <v>9132</v>
      </c>
      <c r="J211" s="7">
        <v>1694.92</v>
      </c>
      <c r="K211">
        <f>Table1_1[[#This Row],[Sales]]/Table1_1[[#This Row],[Profit2]]*100</f>
        <v>538.78649139782397</v>
      </c>
    </row>
    <row r="212" spans="1:11" x14ac:dyDescent="0.25">
      <c r="A212" t="s">
        <v>220</v>
      </c>
      <c r="B212" s="4">
        <v>45292</v>
      </c>
      <c r="C212" t="s">
        <v>424</v>
      </c>
      <c r="D212" t="s">
        <v>549</v>
      </c>
      <c r="E212" t="s">
        <v>555</v>
      </c>
      <c r="F212" t="s">
        <v>566</v>
      </c>
      <c r="G212">
        <v>3</v>
      </c>
      <c r="H212">
        <v>2404</v>
      </c>
      <c r="I212">
        <v>7212</v>
      </c>
      <c r="J212" s="7">
        <v>1007.07</v>
      </c>
      <c r="K212">
        <f>Table1_1[[#This Row],[Sales]]/Table1_1[[#This Row],[Profit2]]*100</f>
        <v>716.13691203193412</v>
      </c>
    </row>
    <row r="213" spans="1:11" x14ac:dyDescent="0.25">
      <c r="A213" t="s">
        <v>221</v>
      </c>
      <c r="B213" s="4">
        <v>45574</v>
      </c>
      <c r="C213" t="s">
        <v>471</v>
      </c>
      <c r="D213" t="s">
        <v>549</v>
      </c>
      <c r="E213" t="s">
        <v>556</v>
      </c>
      <c r="F213" t="s">
        <v>565</v>
      </c>
      <c r="G213">
        <v>1</v>
      </c>
      <c r="H213">
        <v>1298</v>
      </c>
      <c r="I213">
        <v>1298</v>
      </c>
      <c r="J213" s="7">
        <v>264.27999999999997</v>
      </c>
      <c r="K213">
        <f>Table1_1[[#This Row],[Sales]]/Table1_1[[#This Row],[Profit2]]*100</f>
        <v>491.14575450280012</v>
      </c>
    </row>
    <row r="214" spans="1:11" x14ac:dyDescent="0.25">
      <c r="A214" t="s">
        <v>222</v>
      </c>
      <c r="B214" s="4">
        <v>45554</v>
      </c>
      <c r="C214" t="s">
        <v>471</v>
      </c>
      <c r="D214" t="s">
        <v>551</v>
      </c>
      <c r="E214" t="s">
        <v>553</v>
      </c>
      <c r="F214" t="s">
        <v>557</v>
      </c>
      <c r="G214">
        <v>8</v>
      </c>
      <c r="H214">
        <v>2023</v>
      </c>
      <c r="I214">
        <v>16184</v>
      </c>
      <c r="J214" s="7">
        <v>6430.07</v>
      </c>
      <c r="K214">
        <f>Table1_1[[#This Row],[Sales]]/Table1_1[[#This Row],[Profit2]]*100</f>
        <v>251.69243880704255</v>
      </c>
    </row>
    <row r="215" spans="1:11" x14ac:dyDescent="0.25">
      <c r="A215" t="s">
        <v>223</v>
      </c>
      <c r="B215" s="4">
        <v>45573</v>
      </c>
      <c r="C215" t="s">
        <v>480</v>
      </c>
      <c r="D215" t="s">
        <v>549</v>
      </c>
      <c r="E215" t="s">
        <v>556</v>
      </c>
      <c r="F215" t="s">
        <v>569</v>
      </c>
      <c r="G215">
        <v>2</v>
      </c>
      <c r="H215">
        <v>3401</v>
      </c>
      <c r="I215">
        <v>6802</v>
      </c>
      <c r="J215" s="7">
        <v>895.09</v>
      </c>
      <c r="K215">
        <f>Table1_1[[#This Row],[Sales]]/Table1_1[[#This Row],[Profit2]]*100</f>
        <v>759.92358310337499</v>
      </c>
    </row>
    <row r="216" spans="1:11" x14ac:dyDescent="0.25">
      <c r="A216" t="s">
        <v>224</v>
      </c>
      <c r="B216" s="4">
        <v>45507</v>
      </c>
      <c r="C216" t="s">
        <v>440</v>
      </c>
      <c r="D216" t="s">
        <v>549</v>
      </c>
      <c r="E216" t="s">
        <v>556</v>
      </c>
      <c r="F216" t="s">
        <v>569</v>
      </c>
      <c r="G216">
        <v>3</v>
      </c>
      <c r="H216">
        <v>3355</v>
      </c>
      <c r="I216">
        <v>10065</v>
      </c>
      <c r="J216" s="7">
        <v>3139.32</v>
      </c>
      <c r="K216">
        <f>Table1_1[[#This Row],[Sales]]/Table1_1[[#This Row],[Profit2]]*100</f>
        <v>320.61083291923092</v>
      </c>
    </row>
    <row r="217" spans="1:11" x14ac:dyDescent="0.25">
      <c r="A217" t="s">
        <v>225</v>
      </c>
      <c r="B217" s="4">
        <v>45551</v>
      </c>
      <c r="C217" t="s">
        <v>529</v>
      </c>
      <c r="D217" t="s">
        <v>551</v>
      </c>
      <c r="E217" t="s">
        <v>554</v>
      </c>
      <c r="F217" t="s">
        <v>574</v>
      </c>
      <c r="G217">
        <v>8</v>
      </c>
      <c r="H217">
        <v>3293</v>
      </c>
      <c r="I217">
        <v>26344</v>
      </c>
      <c r="J217" s="7">
        <v>8941.44</v>
      </c>
      <c r="K217">
        <f>Table1_1[[#This Row],[Sales]]/Table1_1[[#This Row],[Profit2]]*100</f>
        <v>294.62815832796508</v>
      </c>
    </row>
    <row r="218" spans="1:11" x14ac:dyDescent="0.25">
      <c r="A218" t="s">
        <v>226</v>
      </c>
      <c r="B218" s="4">
        <v>45521</v>
      </c>
      <c r="C218" t="s">
        <v>421</v>
      </c>
      <c r="D218" t="s">
        <v>550</v>
      </c>
      <c r="E218" t="s">
        <v>555</v>
      </c>
      <c r="F218" t="s">
        <v>566</v>
      </c>
      <c r="G218">
        <v>8</v>
      </c>
      <c r="H218">
        <v>3730</v>
      </c>
      <c r="I218">
        <v>29840</v>
      </c>
      <c r="J218" s="7">
        <v>11478.06</v>
      </c>
      <c r="K218">
        <f>Table1_1[[#This Row],[Sales]]/Table1_1[[#This Row],[Profit2]]*100</f>
        <v>259.97424651901105</v>
      </c>
    </row>
    <row r="219" spans="1:11" x14ac:dyDescent="0.25">
      <c r="A219" t="s">
        <v>227</v>
      </c>
      <c r="B219" s="4">
        <v>45449</v>
      </c>
      <c r="C219" t="s">
        <v>530</v>
      </c>
      <c r="D219" t="s">
        <v>551</v>
      </c>
      <c r="E219" t="s">
        <v>553</v>
      </c>
      <c r="F219" t="s">
        <v>562</v>
      </c>
      <c r="G219">
        <v>4</v>
      </c>
      <c r="H219">
        <v>3978</v>
      </c>
      <c r="I219">
        <v>15912</v>
      </c>
      <c r="J219" s="7">
        <v>3409.71</v>
      </c>
      <c r="K219">
        <f>Table1_1[[#This Row],[Sales]]/Table1_1[[#This Row],[Profit2]]*100</f>
        <v>466.66725322681401</v>
      </c>
    </row>
    <row r="220" spans="1:11" x14ac:dyDescent="0.25">
      <c r="A220" t="s">
        <v>228</v>
      </c>
      <c r="B220" s="4">
        <v>45532</v>
      </c>
      <c r="C220" t="s">
        <v>429</v>
      </c>
      <c r="D220" t="s">
        <v>550</v>
      </c>
      <c r="E220" t="s">
        <v>554</v>
      </c>
      <c r="F220" t="s">
        <v>564</v>
      </c>
      <c r="G220">
        <v>4</v>
      </c>
      <c r="H220">
        <v>3096</v>
      </c>
      <c r="I220">
        <v>12384</v>
      </c>
      <c r="J220" s="7">
        <v>1241.82</v>
      </c>
      <c r="K220">
        <f>Table1_1[[#This Row],[Sales]]/Table1_1[[#This Row],[Profit2]]*100</f>
        <v>997.24597767792443</v>
      </c>
    </row>
    <row r="221" spans="1:11" x14ac:dyDescent="0.25">
      <c r="A221" t="s">
        <v>229</v>
      </c>
      <c r="B221" s="4">
        <v>45392</v>
      </c>
      <c r="C221" t="s">
        <v>450</v>
      </c>
      <c r="D221" t="s">
        <v>549</v>
      </c>
      <c r="E221" t="s">
        <v>554</v>
      </c>
      <c r="F221" t="s">
        <v>574</v>
      </c>
      <c r="G221">
        <v>5</v>
      </c>
      <c r="H221">
        <v>3653</v>
      </c>
      <c r="I221">
        <v>18265</v>
      </c>
      <c r="J221" s="7">
        <v>4201.33</v>
      </c>
      <c r="K221">
        <f>Table1_1[[#This Row],[Sales]]/Table1_1[[#This Row],[Profit2]]*100</f>
        <v>434.74328367445548</v>
      </c>
    </row>
    <row r="222" spans="1:11" x14ac:dyDescent="0.25">
      <c r="A222" t="s">
        <v>230</v>
      </c>
      <c r="B222" s="4">
        <v>45322</v>
      </c>
      <c r="C222" t="s">
        <v>473</v>
      </c>
      <c r="D222" t="s">
        <v>549</v>
      </c>
      <c r="E222" t="s">
        <v>553</v>
      </c>
      <c r="F222" t="s">
        <v>571</v>
      </c>
      <c r="G222">
        <v>6</v>
      </c>
      <c r="H222">
        <v>3711</v>
      </c>
      <c r="I222">
        <v>22266</v>
      </c>
      <c r="J222" s="7">
        <v>3511.86</v>
      </c>
      <c r="K222">
        <f>Table1_1[[#This Row],[Sales]]/Table1_1[[#This Row],[Profit2]]*100</f>
        <v>634.02299636090277</v>
      </c>
    </row>
    <row r="223" spans="1:11" x14ac:dyDescent="0.25">
      <c r="A223" t="s">
        <v>231</v>
      </c>
      <c r="B223" s="4">
        <v>45626</v>
      </c>
      <c r="C223" t="s">
        <v>517</v>
      </c>
      <c r="D223" t="s">
        <v>549</v>
      </c>
      <c r="E223" t="s">
        <v>556</v>
      </c>
      <c r="F223" t="s">
        <v>568</v>
      </c>
      <c r="G223">
        <v>5</v>
      </c>
      <c r="H223">
        <v>1188</v>
      </c>
      <c r="I223">
        <v>5940</v>
      </c>
      <c r="J223" s="7">
        <v>800.69</v>
      </c>
      <c r="K223">
        <f>Table1_1[[#This Row],[Sales]]/Table1_1[[#This Row],[Profit2]]*100</f>
        <v>741.86014562439891</v>
      </c>
    </row>
    <row r="224" spans="1:11" x14ac:dyDescent="0.25">
      <c r="A224" t="s">
        <v>232</v>
      </c>
      <c r="B224" s="4">
        <v>45386</v>
      </c>
      <c r="C224" t="s">
        <v>496</v>
      </c>
      <c r="D224" t="s">
        <v>552</v>
      </c>
      <c r="E224" t="s">
        <v>554</v>
      </c>
      <c r="F224" t="s">
        <v>574</v>
      </c>
      <c r="G224">
        <v>7</v>
      </c>
      <c r="H224">
        <v>4316</v>
      </c>
      <c r="I224">
        <v>30212</v>
      </c>
      <c r="J224" s="7">
        <v>9603.4</v>
      </c>
      <c r="K224">
        <f>Table1_1[[#This Row],[Sales]]/Table1_1[[#This Row],[Profit2]]*100</f>
        <v>314.59691359310244</v>
      </c>
    </row>
    <row r="225" spans="1:11" x14ac:dyDescent="0.25">
      <c r="A225" t="s">
        <v>233</v>
      </c>
      <c r="B225" s="4">
        <v>45439</v>
      </c>
      <c r="C225" t="s">
        <v>437</v>
      </c>
      <c r="D225" t="s">
        <v>550</v>
      </c>
      <c r="E225" t="s">
        <v>556</v>
      </c>
      <c r="F225" t="s">
        <v>561</v>
      </c>
      <c r="G225">
        <v>2</v>
      </c>
      <c r="H225">
        <v>4226</v>
      </c>
      <c r="I225">
        <v>8452</v>
      </c>
      <c r="J225" s="7">
        <v>1760.94</v>
      </c>
      <c r="K225">
        <f>Table1_1[[#This Row],[Sales]]/Table1_1[[#This Row],[Profit2]]*100</f>
        <v>479.97092461980532</v>
      </c>
    </row>
    <row r="226" spans="1:11" x14ac:dyDescent="0.25">
      <c r="A226" t="s">
        <v>234</v>
      </c>
      <c r="B226" s="4">
        <v>45558</v>
      </c>
      <c r="C226" t="s">
        <v>460</v>
      </c>
      <c r="D226" t="s">
        <v>552</v>
      </c>
      <c r="E226" t="s">
        <v>555</v>
      </c>
      <c r="F226" t="s">
        <v>566</v>
      </c>
      <c r="G226">
        <v>7</v>
      </c>
      <c r="H226">
        <v>4379</v>
      </c>
      <c r="I226">
        <v>30653</v>
      </c>
      <c r="J226" s="7">
        <v>5870.99</v>
      </c>
      <c r="K226">
        <f>Table1_1[[#This Row],[Sales]]/Table1_1[[#This Row],[Profit2]]*100</f>
        <v>522.10955903518834</v>
      </c>
    </row>
    <row r="227" spans="1:11" x14ac:dyDescent="0.25">
      <c r="A227" t="s">
        <v>235</v>
      </c>
      <c r="B227" s="4">
        <v>45619</v>
      </c>
      <c r="C227" t="s">
        <v>472</v>
      </c>
      <c r="D227" t="s">
        <v>552</v>
      </c>
      <c r="E227" t="s">
        <v>556</v>
      </c>
      <c r="F227" t="s">
        <v>568</v>
      </c>
      <c r="G227">
        <v>7</v>
      </c>
      <c r="H227">
        <v>1882</v>
      </c>
      <c r="I227">
        <v>13174</v>
      </c>
      <c r="J227" s="7">
        <v>3578.25</v>
      </c>
      <c r="K227">
        <f>Table1_1[[#This Row],[Sales]]/Table1_1[[#This Row],[Profit2]]*100</f>
        <v>368.16879759659054</v>
      </c>
    </row>
    <row r="228" spans="1:11" x14ac:dyDescent="0.25">
      <c r="A228" t="s">
        <v>236</v>
      </c>
      <c r="B228" s="4">
        <v>45582</v>
      </c>
      <c r="C228" t="s">
        <v>531</v>
      </c>
      <c r="D228" t="s">
        <v>551</v>
      </c>
      <c r="E228" t="s">
        <v>555</v>
      </c>
      <c r="F228" t="s">
        <v>559</v>
      </c>
      <c r="G228">
        <v>1</v>
      </c>
      <c r="H228">
        <v>4865</v>
      </c>
      <c r="I228">
        <v>4865</v>
      </c>
      <c r="J228" s="7">
        <v>1595.06</v>
      </c>
      <c r="K228">
        <f>Table1_1[[#This Row],[Sales]]/Table1_1[[#This Row],[Profit2]]*100</f>
        <v>305.00420046894789</v>
      </c>
    </row>
    <row r="229" spans="1:11" x14ac:dyDescent="0.25">
      <c r="A229" t="s">
        <v>237</v>
      </c>
      <c r="B229" s="4">
        <v>45588</v>
      </c>
      <c r="C229" t="s">
        <v>477</v>
      </c>
      <c r="D229" t="s">
        <v>552</v>
      </c>
      <c r="E229" t="s">
        <v>556</v>
      </c>
      <c r="F229" t="s">
        <v>565</v>
      </c>
      <c r="G229">
        <v>7</v>
      </c>
      <c r="H229">
        <v>4163</v>
      </c>
      <c r="I229">
        <v>29141</v>
      </c>
      <c r="J229" s="7">
        <v>3149.46</v>
      </c>
      <c r="K229">
        <f>Table1_1[[#This Row],[Sales]]/Table1_1[[#This Row],[Profit2]]*100</f>
        <v>925.26972877890171</v>
      </c>
    </row>
    <row r="230" spans="1:11" x14ac:dyDescent="0.25">
      <c r="A230" t="s">
        <v>238</v>
      </c>
      <c r="B230" s="4">
        <v>45304</v>
      </c>
      <c r="C230" t="s">
        <v>532</v>
      </c>
      <c r="D230" t="s">
        <v>551</v>
      </c>
      <c r="E230" t="s">
        <v>554</v>
      </c>
      <c r="F230" t="s">
        <v>558</v>
      </c>
      <c r="G230">
        <v>5</v>
      </c>
      <c r="H230">
        <v>1133</v>
      </c>
      <c r="I230">
        <v>5665</v>
      </c>
      <c r="J230" s="7">
        <v>2104.4699999999998</v>
      </c>
      <c r="K230">
        <f>Table1_1[[#This Row],[Sales]]/Table1_1[[#This Row],[Profit2]]*100</f>
        <v>269.18891692445135</v>
      </c>
    </row>
    <row r="231" spans="1:11" x14ac:dyDescent="0.25">
      <c r="A231" t="s">
        <v>239</v>
      </c>
      <c r="B231" s="4">
        <v>45429</v>
      </c>
      <c r="C231" t="s">
        <v>500</v>
      </c>
      <c r="D231" t="s">
        <v>551</v>
      </c>
      <c r="E231" t="s">
        <v>554</v>
      </c>
      <c r="F231" t="s">
        <v>564</v>
      </c>
      <c r="G231">
        <v>3</v>
      </c>
      <c r="H231">
        <v>3798</v>
      </c>
      <c r="I231">
        <v>11394</v>
      </c>
      <c r="J231" s="7">
        <v>2669.63</v>
      </c>
      <c r="K231">
        <f>Table1_1[[#This Row],[Sales]]/Table1_1[[#This Row],[Profit2]]*100</f>
        <v>426.80071770245308</v>
      </c>
    </row>
    <row r="232" spans="1:11" x14ac:dyDescent="0.25">
      <c r="A232" t="s">
        <v>240</v>
      </c>
      <c r="B232" s="4">
        <v>45506</v>
      </c>
      <c r="C232" t="s">
        <v>457</v>
      </c>
      <c r="D232" t="s">
        <v>552</v>
      </c>
      <c r="E232" t="s">
        <v>555</v>
      </c>
      <c r="F232" t="s">
        <v>575</v>
      </c>
      <c r="G232">
        <v>3</v>
      </c>
      <c r="H232">
        <v>3433</v>
      </c>
      <c r="I232">
        <v>10299</v>
      </c>
      <c r="J232" s="7">
        <v>3246.82</v>
      </c>
      <c r="K232">
        <f>Table1_1[[#This Row],[Sales]]/Table1_1[[#This Row],[Profit2]]*100</f>
        <v>317.20267831293387</v>
      </c>
    </row>
    <row r="233" spans="1:11" x14ac:dyDescent="0.25">
      <c r="A233" t="s">
        <v>241</v>
      </c>
      <c r="B233" s="4">
        <v>45421</v>
      </c>
      <c r="C233" t="s">
        <v>470</v>
      </c>
      <c r="D233" t="s">
        <v>550</v>
      </c>
      <c r="E233" t="s">
        <v>553</v>
      </c>
      <c r="F233" t="s">
        <v>562</v>
      </c>
      <c r="G233">
        <v>4</v>
      </c>
      <c r="H233">
        <v>2180</v>
      </c>
      <c r="I233">
        <v>8720</v>
      </c>
      <c r="J233" s="7">
        <v>3399.9</v>
      </c>
      <c r="K233">
        <f>Table1_1[[#This Row],[Sales]]/Table1_1[[#This Row],[Profit2]]*100</f>
        <v>256.47813170975616</v>
      </c>
    </row>
    <row r="234" spans="1:11" x14ac:dyDescent="0.25">
      <c r="A234" t="s">
        <v>242</v>
      </c>
      <c r="B234" s="4">
        <v>45359</v>
      </c>
      <c r="C234" t="s">
        <v>430</v>
      </c>
      <c r="D234" t="s">
        <v>550</v>
      </c>
      <c r="E234" t="s">
        <v>555</v>
      </c>
      <c r="F234" t="s">
        <v>567</v>
      </c>
      <c r="G234">
        <v>2</v>
      </c>
      <c r="H234">
        <v>2055</v>
      </c>
      <c r="I234">
        <v>4110</v>
      </c>
      <c r="J234" s="7">
        <v>1200.58</v>
      </c>
      <c r="K234">
        <f>Table1_1[[#This Row],[Sales]]/Table1_1[[#This Row],[Profit2]]*100</f>
        <v>342.33453830648523</v>
      </c>
    </row>
    <row r="235" spans="1:11" x14ac:dyDescent="0.25">
      <c r="A235" t="s">
        <v>243</v>
      </c>
      <c r="B235" s="4">
        <v>45391</v>
      </c>
      <c r="C235" t="s">
        <v>441</v>
      </c>
      <c r="D235" t="s">
        <v>550</v>
      </c>
      <c r="E235" t="s">
        <v>555</v>
      </c>
      <c r="F235" t="s">
        <v>570</v>
      </c>
      <c r="G235">
        <v>2</v>
      </c>
      <c r="H235">
        <v>3256</v>
      </c>
      <c r="I235">
        <v>6512</v>
      </c>
      <c r="J235" s="7">
        <v>2573.48</v>
      </c>
      <c r="K235">
        <f>Table1_1[[#This Row],[Sales]]/Table1_1[[#This Row],[Profit2]]*100</f>
        <v>253.04257270311018</v>
      </c>
    </row>
    <row r="236" spans="1:11" x14ac:dyDescent="0.25">
      <c r="A236" t="s">
        <v>244</v>
      </c>
      <c r="B236" s="4">
        <v>45426</v>
      </c>
      <c r="C236" t="s">
        <v>449</v>
      </c>
      <c r="D236" t="s">
        <v>550</v>
      </c>
      <c r="E236" t="s">
        <v>556</v>
      </c>
      <c r="F236" t="s">
        <v>569</v>
      </c>
      <c r="G236">
        <v>1</v>
      </c>
      <c r="H236">
        <v>992</v>
      </c>
      <c r="I236">
        <v>992</v>
      </c>
      <c r="J236" s="7">
        <v>161.4</v>
      </c>
      <c r="K236">
        <f>Table1_1[[#This Row],[Sales]]/Table1_1[[#This Row],[Profit2]]*100</f>
        <v>614.62205700123911</v>
      </c>
    </row>
    <row r="237" spans="1:11" x14ac:dyDescent="0.25">
      <c r="A237" t="s">
        <v>245</v>
      </c>
      <c r="B237" s="4">
        <v>45355</v>
      </c>
      <c r="C237" t="s">
        <v>502</v>
      </c>
      <c r="D237" t="s">
        <v>550</v>
      </c>
      <c r="E237" t="s">
        <v>556</v>
      </c>
      <c r="F237" t="s">
        <v>563</v>
      </c>
      <c r="G237">
        <v>5</v>
      </c>
      <c r="H237">
        <v>991</v>
      </c>
      <c r="I237">
        <v>4955</v>
      </c>
      <c r="J237" s="7">
        <v>859.2</v>
      </c>
      <c r="K237">
        <f>Table1_1[[#This Row],[Sales]]/Table1_1[[#This Row],[Profit2]]*100</f>
        <v>576.69925512104271</v>
      </c>
    </row>
    <row r="238" spans="1:11" x14ac:dyDescent="0.25">
      <c r="A238" t="s">
        <v>246</v>
      </c>
      <c r="B238" s="4">
        <v>45342</v>
      </c>
      <c r="C238" t="s">
        <v>496</v>
      </c>
      <c r="D238" t="s">
        <v>552</v>
      </c>
      <c r="E238" t="s">
        <v>555</v>
      </c>
      <c r="F238" t="s">
        <v>575</v>
      </c>
      <c r="G238">
        <v>4</v>
      </c>
      <c r="H238">
        <v>2009</v>
      </c>
      <c r="I238">
        <v>8036</v>
      </c>
      <c r="J238" s="7">
        <v>1814.07</v>
      </c>
      <c r="K238">
        <f>Table1_1[[#This Row],[Sales]]/Table1_1[[#This Row],[Profit2]]*100</f>
        <v>442.98180334827214</v>
      </c>
    </row>
    <row r="239" spans="1:11" x14ac:dyDescent="0.25">
      <c r="A239" t="s">
        <v>247</v>
      </c>
      <c r="B239" s="4">
        <v>45492</v>
      </c>
      <c r="C239" t="s">
        <v>415</v>
      </c>
      <c r="D239" t="s">
        <v>552</v>
      </c>
      <c r="E239" t="s">
        <v>554</v>
      </c>
      <c r="F239" t="s">
        <v>558</v>
      </c>
      <c r="G239">
        <v>2</v>
      </c>
      <c r="H239">
        <v>2455</v>
      </c>
      <c r="I239">
        <v>4910</v>
      </c>
      <c r="J239" s="7">
        <v>1218.21</v>
      </c>
      <c r="K239">
        <f>Table1_1[[#This Row],[Sales]]/Table1_1[[#This Row],[Profit2]]*100</f>
        <v>403.05037719276646</v>
      </c>
    </row>
    <row r="240" spans="1:11" x14ac:dyDescent="0.25">
      <c r="A240" t="s">
        <v>248</v>
      </c>
      <c r="B240" s="4">
        <v>45318</v>
      </c>
      <c r="C240" t="s">
        <v>452</v>
      </c>
      <c r="D240" t="s">
        <v>549</v>
      </c>
      <c r="E240" t="s">
        <v>556</v>
      </c>
      <c r="F240" t="s">
        <v>568</v>
      </c>
      <c r="G240">
        <v>3</v>
      </c>
      <c r="H240">
        <v>3810</v>
      </c>
      <c r="I240">
        <v>11430</v>
      </c>
      <c r="J240" s="7">
        <v>3851.14</v>
      </c>
      <c r="K240">
        <f>Table1_1[[#This Row],[Sales]]/Table1_1[[#This Row],[Profit2]]*100</f>
        <v>296.79523465778965</v>
      </c>
    </row>
    <row r="241" spans="1:11" x14ac:dyDescent="0.25">
      <c r="A241" t="s">
        <v>249</v>
      </c>
      <c r="B241" s="4">
        <v>45368</v>
      </c>
      <c r="C241" t="s">
        <v>505</v>
      </c>
      <c r="D241" t="s">
        <v>550</v>
      </c>
      <c r="E241" t="s">
        <v>553</v>
      </c>
      <c r="F241" t="s">
        <v>557</v>
      </c>
      <c r="G241">
        <v>7</v>
      </c>
      <c r="H241">
        <v>1807</v>
      </c>
      <c r="I241">
        <v>12649</v>
      </c>
      <c r="J241" s="7">
        <v>4847.8</v>
      </c>
      <c r="K241">
        <f>Table1_1[[#This Row],[Sales]]/Table1_1[[#This Row],[Profit2]]*100</f>
        <v>260.92248030034239</v>
      </c>
    </row>
    <row r="242" spans="1:11" x14ac:dyDescent="0.25">
      <c r="A242" t="s">
        <v>250</v>
      </c>
      <c r="B242" s="4">
        <v>45574</v>
      </c>
      <c r="C242" t="s">
        <v>436</v>
      </c>
      <c r="D242" t="s">
        <v>552</v>
      </c>
      <c r="E242" t="s">
        <v>556</v>
      </c>
      <c r="F242" t="s">
        <v>563</v>
      </c>
      <c r="G242">
        <v>7</v>
      </c>
      <c r="H242">
        <v>1184</v>
      </c>
      <c r="I242">
        <v>8288</v>
      </c>
      <c r="J242" s="7">
        <v>3044.84</v>
      </c>
      <c r="K242">
        <f>Table1_1[[#This Row],[Sales]]/Table1_1[[#This Row],[Profit2]]*100</f>
        <v>272.19821074342161</v>
      </c>
    </row>
    <row r="243" spans="1:11" x14ac:dyDescent="0.25">
      <c r="A243" t="s">
        <v>251</v>
      </c>
      <c r="B243" s="4">
        <v>45381</v>
      </c>
      <c r="C243" t="s">
        <v>528</v>
      </c>
      <c r="D243" t="s">
        <v>549</v>
      </c>
      <c r="E243" t="s">
        <v>556</v>
      </c>
      <c r="F243" t="s">
        <v>563</v>
      </c>
      <c r="G243">
        <v>4</v>
      </c>
      <c r="H243">
        <v>3876</v>
      </c>
      <c r="I243">
        <v>15504</v>
      </c>
      <c r="J243" s="7">
        <v>2941.15</v>
      </c>
      <c r="K243">
        <f>Table1_1[[#This Row],[Sales]]/Table1_1[[#This Row],[Profit2]]*100</f>
        <v>527.14074426669845</v>
      </c>
    </row>
    <row r="244" spans="1:11" x14ac:dyDescent="0.25">
      <c r="A244" t="s">
        <v>252</v>
      </c>
      <c r="B244" s="4">
        <v>45323</v>
      </c>
      <c r="C244" t="s">
        <v>476</v>
      </c>
      <c r="D244" t="s">
        <v>550</v>
      </c>
      <c r="E244" t="s">
        <v>553</v>
      </c>
      <c r="F244" t="s">
        <v>560</v>
      </c>
      <c r="G244">
        <v>5</v>
      </c>
      <c r="H244">
        <v>3580</v>
      </c>
      <c r="I244">
        <v>17900</v>
      </c>
      <c r="J244" s="7">
        <v>6945.74</v>
      </c>
      <c r="K244">
        <f>Table1_1[[#This Row],[Sales]]/Table1_1[[#This Row],[Profit2]]*100</f>
        <v>257.71192126396897</v>
      </c>
    </row>
    <row r="245" spans="1:11" x14ac:dyDescent="0.25">
      <c r="A245" t="s">
        <v>253</v>
      </c>
      <c r="B245" s="4">
        <v>45507</v>
      </c>
      <c r="C245" t="s">
        <v>413</v>
      </c>
      <c r="D245" t="s">
        <v>551</v>
      </c>
      <c r="E245" t="s">
        <v>555</v>
      </c>
      <c r="F245" t="s">
        <v>575</v>
      </c>
      <c r="G245">
        <v>5</v>
      </c>
      <c r="H245">
        <v>719</v>
      </c>
      <c r="I245">
        <v>3595</v>
      </c>
      <c r="J245" s="7">
        <v>475.55</v>
      </c>
      <c r="K245">
        <f>Table1_1[[#This Row],[Sales]]/Table1_1[[#This Row],[Profit2]]*100</f>
        <v>755.96677531279568</v>
      </c>
    </row>
    <row r="246" spans="1:11" x14ac:dyDescent="0.25">
      <c r="A246" t="s">
        <v>254</v>
      </c>
      <c r="B246" s="4">
        <v>45429</v>
      </c>
      <c r="C246" t="s">
        <v>527</v>
      </c>
      <c r="D246" t="s">
        <v>549</v>
      </c>
      <c r="E246" t="s">
        <v>553</v>
      </c>
      <c r="F246" t="s">
        <v>560</v>
      </c>
      <c r="G246">
        <v>6</v>
      </c>
      <c r="H246">
        <v>790</v>
      </c>
      <c r="I246">
        <v>4740</v>
      </c>
      <c r="J246" s="7">
        <v>504.71</v>
      </c>
      <c r="K246">
        <f>Table1_1[[#This Row],[Sales]]/Table1_1[[#This Row],[Profit2]]*100</f>
        <v>939.15317707198187</v>
      </c>
    </row>
    <row r="247" spans="1:11" x14ac:dyDescent="0.25">
      <c r="A247" t="s">
        <v>255</v>
      </c>
      <c r="B247" s="4">
        <v>45596</v>
      </c>
      <c r="C247" t="s">
        <v>490</v>
      </c>
      <c r="D247" t="s">
        <v>552</v>
      </c>
      <c r="E247" t="s">
        <v>555</v>
      </c>
      <c r="F247" t="s">
        <v>575</v>
      </c>
      <c r="G247">
        <v>9</v>
      </c>
      <c r="H247">
        <v>1250</v>
      </c>
      <c r="I247">
        <v>11250</v>
      </c>
      <c r="J247" s="7">
        <v>2654.36</v>
      </c>
      <c r="K247">
        <f>Table1_1[[#This Row],[Sales]]/Table1_1[[#This Row],[Profit2]]*100</f>
        <v>423.83097997257335</v>
      </c>
    </row>
    <row r="248" spans="1:11" x14ac:dyDescent="0.25">
      <c r="A248" t="s">
        <v>256</v>
      </c>
      <c r="B248" s="4">
        <v>45571</v>
      </c>
      <c r="C248" t="s">
        <v>511</v>
      </c>
      <c r="D248" t="s">
        <v>551</v>
      </c>
      <c r="E248" t="s">
        <v>555</v>
      </c>
      <c r="F248" t="s">
        <v>570</v>
      </c>
      <c r="G248">
        <v>2</v>
      </c>
      <c r="H248">
        <v>3833</v>
      </c>
      <c r="I248">
        <v>7666</v>
      </c>
      <c r="J248" s="7">
        <v>1460.32</v>
      </c>
      <c r="K248">
        <f>Table1_1[[#This Row],[Sales]]/Table1_1[[#This Row],[Profit2]]*100</f>
        <v>524.9534348635915</v>
      </c>
    </row>
    <row r="249" spans="1:11" x14ac:dyDescent="0.25">
      <c r="A249" t="s">
        <v>257</v>
      </c>
      <c r="B249" s="4">
        <v>45299</v>
      </c>
      <c r="C249" t="s">
        <v>453</v>
      </c>
      <c r="D249" t="s">
        <v>551</v>
      </c>
      <c r="E249" t="s">
        <v>555</v>
      </c>
      <c r="F249" t="s">
        <v>566</v>
      </c>
      <c r="G249">
        <v>5</v>
      </c>
      <c r="H249">
        <v>4644</v>
      </c>
      <c r="I249">
        <v>23220</v>
      </c>
      <c r="J249" s="7">
        <v>7457.02</v>
      </c>
      <c r="K249">
        <f>Table1_1[[#This Row],[Sales]]/Table1_1[[#This Row],[Profit2]]*100</f>
        <v>311.38444043330981</v>
      </c>
    </row>
    <row r="250" spans="1:11" x14ac:dyDescent="0.25">
      <c r="A250" t="s">
        <v>258</v>
      </c>
      <c r="B250" s="4">
        <v>45418</v>
      </c>
      <c r="C250" t="s">
        <v>412</v>
      </c>
      <c r="D250" t="s">
        <v>551</v>
      </c>
      <c r="E250" t="s">
        <v>553</v>
      </c>
      <c r="F250" t="s">
        <v>562</v>
      </c>
      <c r="G250">
        <v>3</v>
      </c>
      <c r="H250">
        <v>1159</v>
      </c>
      <c r="I250">
        <v>3477</v>
      </c>
      <c r="J250" s="7">
        <v>701.71</v>
      </c>
      <c r="K250">
        <f>Table1_1[[#This Row],[Sales]]/Table1_1[[#This Row],[Profit2]]*100</f>
        <v>495.50384061791908</v>
      </c>
    </row>
    <row r="251" spans="1:11" x14ac:dyDescent="0.25">
      <c r="A251" t="s">
        <v>259</v>
      </c>
      <c r="B251" s="4">
        <v>45327</v>
      </c>
      <c r="C251" t="s">
        <v>451</v>
      </c>
      <c r="D251" t="s">
        <v>549</v>
      </c>
      <c r="E251" t="s">
        <v>555</v>
      </c>
      <c r="F251" t="s">
        <v>566</v>
      </c>
      <c r="G251">
        <v>4</v>
      </c>
      <c r="H251">
        <v>892</v>
      </c>
      <c r="I251">
        <v>3568</v>
      </c>
      <c r="J251" s="7">
        <v>934.38</v>
      </c>
      <c r="K251">
        <f>Table1_1[[#This Row],[Sales]]/Table1_1[[#This Row],[Profit2]]*100</f>
        <v>381.85748838802198</v>
      </c>
    </row>
    <row r="252" spans="1:11" x14ac:dyDescent="0.25">
      <c r="A252" t="s">
        <v>260</v>
      </c>
      <c r="B252" s="4">
        <v>45590</v>
      </c>
      <c r="C252" t="s">
        <v>498</v>
      </c>
      <c r="D252" t="s">
        <v>552</v>
      </c>
      <c r="E252" t="s">
        <v>554</v>
      </c>
      <c r="F252" t="s">
        <v>573</v>
      </c>
      <c r="G252">
        <v>6</v>
      </c>
      <c r="H252">
        <v>4099</v>
      </c>
      <c r="I252">
        <v>24594</v>
      </c>
      <c r="J252" s="7">
        <v>6981.55</v>
      </c>
      <c r="K252">
        <f>Table1_1[[#This Row],[Sales]]/Table1_1[[#This Row],[Profit2]]*100</f>
        <v>352.27134375604271</v>
      </c>
    </row>
    <row r="253" spans="1:11" x14ac:dyDescent="0.25">
      <c r="A253" t="s">
        <v>261</v>
      </c>
      <c r="B253" s="4">
        <v>45598</v>
      </c>
      <c r="C253" t="s">
        <v>533</v>
      </c>
      <c r="D253" t="s">
        <v>551</v>
      </c>
      <c r="E253" t="s">
        <v>553</v>
      </c>
      <c r="F253" t="s">
        <v>557</v>
      </c>
      <c r="G253">
        <v>8</v>
      </c>
      <c r="H253">
        <v>4673</v>
      </c>
      <c r="I253">
        <v>37384</v>
      </c>
      <c r="J253" s="7">
        <v>13130.32</v>
      </c>
      <c r="K253">
        <f>Table1_1[[#This Row],[Sales]]/Table1_1[[#This Row],[Profit2]]*100</f>
        <v>284.71507168142136</v>
      </c>
    </row>
    <row r="254" spans="1:11" x14ac:dyDescent="0.25">
      <c r="A254" t="s">
        <v>262</v>
      </c>
      <c r="B254" s="4">
        <v>45561</v>
      </c>
      <c r="C254" t="s">
        <v>494</v>
      </c>
      <c r="D254" t="s">
        <v>550</v>
      </c>
      <c r="E254" t="s">
        <v>554</v>
      </c>
      <c r="F254" t="s">
        <v>573</v>
      </c>
      <c r="G254">
        <v>1</v>
      </c>
      <c r="H254">
        <v>3146</v>
      </c>
      <c r="I254">
        <v>3146</v>
      </c>
      <c r="J254" s="7">
        <v>350.85</v>
      </c>
      <c r="K254">
        <f>Table1_1[[#This Row],[Sales]]/Table1_1[[#This Row],[Profit2]]*100</f>
        <v>896.67949266068115</v>
      </c>
    </row>
    <row r="255" spans="1:11" x14ac:dyDescent="0.25">
      <c r="A255" t="s">
        <v>263</v>
      </c>
      <c r="B255" s="4">
        <v>45296</v>
      </c>
      <c r="C255" t="s">
        <v>436</v>
      </c>
      <c r="D255" t="s">
        <v>551</v>
      </c>
      <c r="E255" t="s">
        <v>555</v>
      </c>
      <c r="F255" t="s">
        <v>559</v>
      </c>
      <c r="G255">
        <v>8</v>
      </c>
      <c r="H255">
        <v>726</v>
      </c>
      <c r="I255">
        <v>5808</v>
      </c>
      <c r="J255" s="7">
        <v>935.24</v>
      </c>
      <c r="K255">
        <f>Table1_1[[#This Row],[Sales]]/Table1_1[[#This Row],[Profit2]]*100</f>
        <v>621.01706513836018</v>
      </c>
    </row>
    <row r="256" spans="1:11" x14ac:dyDescent="0.25">
      <c r="A256" t="s">
        <v>264</v>
      </c>
      <c r="B256" s="4">
        <v>45505</v>
      </c>
      <c r="C256" t="s">
        <v>450</v>
      </c>
      <c r="D256" t="s">
        <v>551</v>
      </c>
      <c r="E256" t="s">
        <v>556</v>
      </c>
      <c r="F256" t="s">
        <v>563</v>
      </c>
      <c r="G256">
        <v>7</v>
      </c>
      <c r="H256">
        <v>3424</v>
      </c>
      <c r="I256">
        <v>23968</v>
      </c>
      <c r="J256" s="7">
        <v>3034.84</v>
      </c>
      <c r="K256">
        <f>Table1_1[[#This Row],[Sales]]/Table1_1[[#This Row],[Profit2]]*100</f>
        <v>789.76156897892474</v>
      </c>
    </row>
    <row r="257" spans="1:11" x14ac:dyDescent="0.25">
      <c r="A257" t="s">
        <v>265</v>
      </c>
      <c r="B257" s="4">
        <v>45463</v>
      </c>
      <c r="C257" t="s">
        <v>521</v>
      </c>
      <c r="D257" t="s">
        <v>549</v>
      </c>
      <c r="E257" t="s">
        <v>555</v>
      </c>
      <c r="F257" t="s">
        <v>567</v>
      </c>
      <c r="G257">
        <v>1</v>
      </c>
      <c r="H257">
        <v>2453</v>
      </c>
      <c r="I257">
        <v>2453</v>
      </c>
      <c r="J257" s="7">
        <v>402.59</v>
      </c>
      <c r="K257">
        <f>Table1_1[[#This Row],[Sales]]/Table1_1[[#This Row],[Profit2]]*100</f>
        <v>609.30475173253194</v>
      </c>
    </row>
    <row r="258" spans="1:11" x14ac:dyDescent="0.25">
      <c r="A258" t="s">
        <v>266</v>
      </c>
      <c r="B258" s="4">
        <v>45650</v>
      </c>
      <c r="C258" t="s">
        <v>504</v>
      </c>
      <c r="D258" t="s">
        <v>549</v>
      </c>
      <c r="E258" t="s">
        <v>554</v>
      </c>
      <c r="F258" t="s">
        <v>573</v>
      </c>
      <c r="G258">
        <v>2</v>
      </c>
      <c r="H258">
        <v>3544</v>
      </c>
      <c r="I258">
        <v>7088</v>
      </c>
      <c r="J258" s="7">
        <v>2813.48</v>
      </c>
      <c r="K258">
        <f>Table1_1[[#This Row],[Sales]]/Table1_1[[#This Row],[Profit2]]*100</f>
        <v>251.92999417092003</v>
      </c>
    </row>
    <row r="259" spans="1:11" x14ac:dyDescent="0.25">
      <c r="A259" t="s">
        <v>267</v>
      </c>
      <c r="B259" s="4">
        <v>45605</v>
      </c>
      <c r="C259" t="s">
        <v>413</v>
      </c>
      <c r="D259" t="s">
        <v>552</v>
      </c>
      <c r="E259" t="s">
        <v>554</v>
      </c>
      <c r="F259" t="s">
        <v>573</v>
      </c>
      <c r="G259">
        <v>3</v>
      </c>
      <c r="H259">
        <v>4165</v>
      </c>
      <c r="I259">
        <v>12495</v>
      </c>
      <c r="J259" s="7">
        <v>4545.93</v>
      </c>
      <c r="K259">
        <f>Table1_1[[#This Row],[Sales]]/Table1_1[[#This Row],[Profit2]]*100</f>
        <v>274.86124951330089</v>
      </c>
    </row>
    <row r="260" spans="1:11" x14ac:dyDescent="0.25">
      <c r="A260" t="s">
        <v>268</v>
      </c>
      <c r="B260" s="4">
        <v>45580</v>
      </c>
      <c r="C260" t="s">
        <v>460</v>
      </c>
      <c r="D260" t="s">
        <v>550</v>
      </c>
      <c r="E260" t="s">
        <v>553</v>
      </c>
      <c r="F260" t="s">
        <v>562</v>
      </c>
      <c r="G260">
        <v>1</v>
      </c>
      <c r="H260">
        <v>2075</v>
      </c>
      <c r="I260">
        <v>2075</v>
      </c>
      <c r="J260" s="7">
        <v>662.06</v>
      </c>
      <c r="K260">
        <f>Table1_1[[#This Row],[Sales]]/Table1_1[[#This Row],[Profit2]]*100</f>
        <v>313.41570250430476</v>
      </c>
    </row>
    <row r="261" spans="1:11" x14ac:dyDescent="0.25">
      <c r="A261" t="s">
        <v>269</v>
      </c>
      <c r="B261" s="4">
        <v>45530</v>
      </c>
      <c r="C261" t="s">
        <v>466</v>
      </c>
      <c r="D261" t="s">
        <v>549</v>
      </c>
      <c r="E261" t="s">
        <v>556</v>
      </c>
      <c r="F261" t="s">
        <v>569</v>
      </c>
      <c r="G261">
        <v>9</v>
      </c>
      <c r="H261">
        <v>1963</v>
      </c>
      <c r="I261">
        <v>17667</v>
      </c>
      <c r="J261" s="7">
        <v>5963.61</v>
      </c>
      <c r="K261">
        <f>Table1_1[[#This Row],[Sales]]/Table1_1[[#This Row],[Profit2]]*100</f>
        <v>296.24673645660937</v>
      </c>
    </row>
    <row r="262" spans="1:11" x14ac:dyDescent="0.25">
      <c r="A262" t="s">
        <v>270</v>
      </c>
      <c r="B262" s="4">
        <v>45531</v>
      </c>
      <c r="C262" t="s">
        <v>494</v>
      </c>
      <c r="D262" t="s">
        <v>551</v>
      </c>
      <c r="E262" t="s">
        <v>553</v>
      </c>
      <c r="F262" t="s">
        <v>571</v>
      </c>
      <c r="G262">
        <v>8</v>
      </c>
      <c r="H262">
        <v>720</v>
      </c>
      <c r="I262">
        <v>5760</v>
      </c>
      <c r="J262" s="7">
        <v>782.39</v>
      </c>
      <c r="K262">
        <f>Table1_1[[#This Row],[Sales]]/Table1_1[[#This Row],[Profit2]]*100</f>
        <v>736.20572860082575</v>
      </c>
    </row>
    <row r="263" spans="1:11" x14ac:dyDescent="0.25">
      <c r="A263" t="s">
        <v>271</v>
      </c>
      <c r="B263" s="4">
        <v>45417</v>
      </c>
      <c r="C263" t="s">
        <v>523</v>
      </c>
      <c r="D263" t="s">
        <v>552</v>
      </c>
      <c r="E263" t="s">
        <v>554</v>
      </c>
      <c r="F263" t="s">
        <v>572</v>
      </c>
      <c r="G263">
        <v>2</v>
      </c>
      <c r="H263">
        <v>1216</v>
      </c>
      <c r="I263">
        <v>2432</v>
      </c>
      <c r="J263" s="7">
        <v>584.95000000000005</v>
      </c>
      <c r="K263">
        <f>Table1_1[[#This Row],[Sales]]/Table1_1[[#This Row],[Profit2]]*100</f>
        <v>415.76203094281556</v>
      </c>
    </row>
    <row r="264" spans="1:11" x14ac:dyDescent="0.25">
      <c r="A264" t="s">
        <v>272</v>
      </c>
      <c r="B264" s="4">
        <v>45420</v>
      </c>
      <c r="C264" t="s">
        <v>534</v>
      </c>
      <c r="D264" t="s">
        <v>551</v>
      </c>
      <c r="E264" t="s">
        <v>555</v>
      </c>
      <c r="F264" t="s">
        <v>575</v>
      </c>
      <c r="G264">
        <v>9</v>
      </c>
      <c r="H264">
        <v>316</v>
      </c>
      <c r="I264">
        <v>2844</v>
      </c>
      <c r="J264" s="7">
        <v>1121.94</v>
      </c>
      <c r="K264">
        <f>Table1_1[[#This Row],[Sales]]/Table1_1[[#This Row],[Profit2]]*100</f>
        <v>253.48949141665327</v>
      </c>
    </row>
    <row r="265" spans="1:11" x14ac:dyDescent="0.25">
      <c r="A265" t="s">
        <v>273</v>
      </c>
      <c r="B265" s="4">
        <v>45489</v>
      </c>
      <c r="C265" t="s">
        <v>483</v>
      </c>
      <c r="D265" t="s">
        <v>551</v>
      </c>
      <c r="E265" t="s">
        <v>556</v>
      </c>
      <c r="F265" t="s">
        <v>561</v>
      </c>
      <c r="G265">
        <v>7</v>
      </c>
      <c r="H265">
        <v>2633</v>
      </c>
      <c r="I265">
        <v>18431</v>
      </c>
      <c r="J265" s="7">
        <v>6095.17</v>
      </c>
      <c r="K265">
        <f>Table1_1[[#This Row],[Sales]]/Table1_1[[#This Row],[Profit2]]*100</f>
        <v>302.3869719794526</v>
      </c>
    </row>
    <row r="266" spans="1:11" x14ac:dyDescent="0.25">
      <c r="A266" t="s">
        <v>274</v>
      </c>
      <c r="B266" s="4">
        <v>45462</v>
      </c>
      <c r="C266" t="s">
        <v>519</v>
      </c>
      <c r="D266" t="s">
        <v>549</v>
      </c>
      <c r="E266" t="s">
        <v>555</v>
      </c>
      <c r="F266" t="s">
        <v>566</v>
      </c>
      <c r="G266">
        <v>9</v>
      </c>
      <c r="H266">
        <v>783</v>
      </c>
      <c r="I266">
        <v>7047</v>
      </c>
      <c r="J266" s="7">
        <v>1615.81</v>
      </c>
      <c r="K266">
        <f>Table1_1[[#This Row],[Sales]]/Table1_1[[#This Row],[Profit2]]*100</f>
        <v>436.12801010019746</v>
      </c>
    </row>
    <row r="267" spans="1:11" x14ac:dyDescent="0.25">
      <c r="A267" t="s">
        <v>275</v>
      </c>
      <c r="B267" s="4">
        <v>45437</v>
      </c>
      <c r="C267" t="s">
        <v>472</v>
      </c>
      <c r="D267" t="s">
        <v>552</v>
      </c>
      <c r="E267" t="s">
        <v>555</v>
      </c>
      <c r="F267" t="s">
        <v>570</v>
      </c>
      <c r="G267">
        <v>6</v>
      </c>
      <c r="H267">
        <v>594</v>
      </c>
      <c r="I267">
        <v>3564</v>
      </c>
      <c r="J267" s="7">
        <v>1190.1300000000001</v>
      </c>
      <c r="K267">
        <f>Table1_1[[#This Row],[Sales]]/Table1_1[[#This Row],[Profit2]]*100</f>
        <v>299.46308386478785</v>
      </c>
    </row>
    <row r="268" spans="1:11" x14ac:dyDescent="0.25">
      <c r="A268" t="s">
        <v>276</v>
      </c>
      <c r="B268" s="4">
        <v>45418</v>
      </c>
      <c r="C268" t="s">
        <v>410</v>
      </c>
      <c r="D268" t="s">
        <v>550</v>
      </c>
      <c r="E268" t="s">
        <v>556</v>
      </c>
      <c r="F268" t="s">
        <v>569</v>
      </c>
      <c r="G268">
        <v>6</v>
      </c>
      <c r="H268">
        <v>3988</v>
      </c>
      <c r="I268">
        <v>23928</v>
      </c>
      <c r="J268" s="7">
        <v>3055.25</v>
      </c>
      <c r="K268">
        <f>Table1_1[[#This Row],[Sales]]/Table1_1[[#This Row],[Profit2]]*100</f>
        <v>783.17649946812867</v>
      </c>
    </row>
    <row r="269" spans="1:11" x14ac:dyDescent="0.25">
      <c r="A269" t="s">
        <v>277</v>
      </c>
      <c r="B269" s="4">
        <v>45353</v>
      </c>
      <c r="C269" t="s">
        <v>484</v>
      </c>
      <c r="D269" t="s">
        <v>550</v>
      </c>
      <c r="E269" t="s">
        <v>553</v>
      </c>
      <c r="F269" t="s">
        <v>571</v>
      </c>
      <c r="G269">
        <v>4</v>
      </c>
      <c r="H269">
        <v>2968</v>
      </c>
      <c r="I269">
        <v>11872</v>
      </c>
      <c r="J269" s="7">
        <v>3178.21</v>
      </c>
      <c r="K269">
        <f>Table1_1[[#This Row],[Sales]]/Table1_1[[#This Row],[Profit2]]*100</f>
        <v>373.54359844063168</v>
      </c>
    </row>
    <row r="270" spans="1:11" x14ac:dyDescent="0.25">
      <c r="A270" t="s">
        <v>278</v>
      </c>
      <c r="B270" s="4">
        <v>45466</v>
      </c>
      <c r="C270" t="s">
        <v>465</v>
      </c>
      <c r="D270" t="s">
        <v>549</v>
      </c>
      <c r="E270" t="s">
        <v>555</v>
      </c>
      <c r="F270" t="s">
        <v>559</v>
      </c>
      <c r="G270">
        <v>2</v>
      </c>
      <c r="H270">
        <v>4367</v>
      </c>
      <c r="I270">
        <v>8734</v>
      </c>
      <c r="J270" s="7">
        <v>1299.58</v>
      </c>
      <c r="K270">
        <f>Table1_1[[#This Row],[Sales]]/Table1_1[[#This Row],[Profit2]]*100</f>
        <v>672.06328198340998</v>
      </c>
    </row>
    <row r="271" spans="1:11" x14ac:dyDescent="0.25">
      <c r="A271" t="s">
        <v>279</v>
      </c>
      <c r="B271" s="4">
        <v>45318</v>
      </c>
      <c r="C271" t="s">
        <v>437</v>
      </c>
      <c r="D271" t="s">
        <v>549</v>
      </c>
      <c r="E271" t="s">
        <v>554</v>
      </c>
      <c r="F271" t="s">
        <v>574</v>
      </c>
      <c r="G271">
        <v>7</v>
      </c>
      <c r="H271">
        <v>4060</v>
      </c>
      <c r="I271">
        <v>28420</v>
      </c>
      <c r="J271" s="7">
        <v>7714.83</v>
      </c>
      <c r="K271">
        <f>Table1_1[[#This Row],[Sales]]/Table1_1[[#This Row],[Profit2]]*100</f>
        <v>368.38141605194153</v>
      </c>
    </row>
    <row r="272" spans="1:11" x14ac:dyDescent="0.25">
      <c r="A272" t="s">
        <v>280</v>
      </c>
      <c r="B272" s="4">
        <v>45546</v>
      </c>
      <c r="C272" t="s">
        <v>421</v>
      </c>
      <c r="D272" t="s">
        <v>552</v>
      </c>
      <c r="E272" t="s">
        <v>555</v>
      </c>
      <c r="F272" t="s">
        <v>570</v>
      </c>
      <c r="G272">
        <v>5</v>
      </c>
      <c r="H272">
        <v>473</v>
      </c>
      <c r="I272">
        <v>2365</v>
      </c>
      <c r="J272" s="7">
        <v>445.02</v>
      </c>
      <c r="K272">
        <f>Table1_1[[#This Row],[Sales]]/Table1_1[[#This Row],[Profit2]]*100</f>
        <v>531.43678935778166</v>
      </c>
    </row>
    <row r="273" spans="1:11" x14ac:dyDescent="0.25">
      <c r="A273" t="s">
        <v>281</v>
      </c>
      <c r="B273" s="4">
        <v>45587</v>
      </c>
      <c r="C273" t="s">
        <v>478</v>
      </c>
      <c r="D273" t="s">
        <v>550</v>
      </c>
      <c r="E273" t="s">
        <v>556</v>
      </c>
      <c r="F273" t="s">
        <v>569</v>
      </c>
      <c r="G273">
        <v>6</v>
      </c>
      <c r="H273">
        <v>2213</v>
      </c>
      <c r="I273">
        <v>13278</v>
      </c>
      <c r="J273" s="7">
        <v>4858.42</v>
      </c>
      <c r="K273">
        <f>Table1_1[[#This Row],[Sales]]/Table1_1[[#This Row],[Profit2]]*100</f>
        <v>273.29872674655547</v>
      </c>
    </row>
    <row r="274" spans="1:11" x14ac:dyDescent="0.25">
      <c r="A274" t="s">
        <v>282</v>
      </c>
      <c r="B274" s="4">
        <v>45453</v>
      </c>
      <c r="C274" t="s">
        <v>522</v>
      </c>
      <c r="D274" t="s">
        <v>550</v>
      </c>
      <c r="E274" t="s">
        <v>556</v>
      </c>
      <c r="F274" t="s">
        <v>565</v>
      </c>
      <c r="G274">
        <v>2</v>
      </c>
      <c r="H274">
        <v>4633</v>
      </c>
      <c r="I274">
        <v>9266</v>
      </c>
      <c r="J274" s="7">
        <v>3645.13</v>
      </c>
      <c r="K274">
        <f>Table1_1[[#This Row],[Sales]]/Table1_1[[#This Row],[Profit2]]*100</f>
        <v>254.20218208952767</v>
      </c>
    </row>
    <row r="275" spans="1:11" x14ac:dyDescent="0.25">
      <c r="A275" t="s">
        <v>283</v>
      </c>
      <c r="B275" s="4">
        <v>45553</v>
      </c>
      <c r="C275" t="s">
        <v>520</v>
      </c>
      <c r="D275" t="s">
        <v>550</v>
      </c>
      <c r="E275" t="s">
        <v>556</v>
      </c>
      <c r="F275" t="s">
        <v>569</v>
      </c>
      <c r="G275">
        <v>5</v>
      </c>
      <c r="H275">
        <v>1589</v>
      </c>
      <c r="I275">
        <v>7945</v>
      </c>
      <c r="J275" s="7">
        <v>2486.5100000000002</v>
      </c>
      <c r="K275">
        <f>Table1_1[[#This Row],[Sales]]/Table1_1[[#This Row],[Profit2]]*100</f>
        <v>319.52415232595081</v>
      </c>
    </row>
    <row r="276" spans="1:11" x14ac:dyDescent="0.25">
      <c r="A276" t="s">
        <v>284</v>
      </c>
      <c r="B276" s="4">
        <v>45603</v>
      </c>
      <c r="C276" t="s">
        <v>516</v>
      </c>
      <c r="D276" t="s">
        <v>551</v>
      </c>
      <c r="E276" t="s">
        <v>553</v>
      </c>
      <c r="F276" t="s">
        <v>557</v>
      </c>
      <c r="G276">
        <v>4</v>
      </c>
      <c r="H276">
        <v>3766</v>
      </c>
      <c r="I276">
        <v>15064</v>
      </c>
      <c r="J276" s="7">
        <v>4983.7</v>
      </c>
      <c r="K276">
        <f>Table1_1[[#This Row],[Sales]]/Table1_1[[#This Row],[Profit2]]*100</f>
        <v>302.26538515560731</v>
      </c>
    </row>
    <row r="277" spans="1:11" x14ac:dyDescent="0.25">
      <c r="A277" t="s">
        <v>285</v>
      </c>
      <c r="B277" s="4">
        <v>45399</v>
      </c>
      <c r="C277" t="s">
        <v>506</v>
      </c>
      <c r="D277" t="s">
        <v>550</v>
      </c>
      <c r="E277" t="s">
        <v>555</v>
      </c>
      <c r="F277" t="s">
        <v>559</v>
      </c>
      <c r="G277">
        <v>9</v>
      </c>
      <c r="H277">
        <v>4902</v>
      </c>
      <c r="I277">
        <v>44118</v>
      </c>
      <c r="J277" s="7">
        <v>4715.26</v>
      </c>
      <c r="K277">
        <f>Table1_1[[#This Row],[Sales]]/Table1_1[[#This Row],[Profit2]]*100</f>
        <v>935.64299741689751</v>
      </c>
    </row>
    <row r="278" spans="1:11" x14ac:dyDescent="0.25">
      <c r="A278" t="s">
        <v>286</v>
      </c>
      <c r="B278" s="4">
        <v>45529</v>
      </c>
      <c r="C278" t="s">
        <v>445</v>
      </c>
      <c r="D278" t="s">
        <v>551</v>
      </c>
      <c r="E278" t="s">
        <v>553</v>
      </c>
      <c r="F278" t="s">
        <v>571</v>
      </c>
      <c r="G278">
        <v>6</v>
      </c>
      <c r="H278">
        <v>365</v>
      </c>
      <c r="I278">
        <v>2190</v>
      </c>
      <c r="J278" s="7">
        <v>829.14</v>
      </c>
      <c r="K278">
        <f>Table1_1[[#This Row],[Sales]]/Table1_1[[#This Row],[Profit2]]*100</f>
        <v>264.12909761921992</v>
      </c>
    </row>
    <row r="279" spans="1:11" x14ac:dyDescent="0.25">
      <c r="A279" t="s">
        <v>287</v>
      </c>
      <c r="B279" s="4">
        <v>45331</v>
      </c>
      <c r="C279" t="s">
        <v>535</v>
      </c>
      <c r="D279" t="s">
        <v>552</v>
      </c>
      <c r="E279" t="s">
        <v>553</v>
      </c>
      <c r="F279" t="s">
        <v>571</v>
      </c>
      <c r="G279">
        <v>2</v>
      </c>
      <c r="H279">
        <v>1767</v>
      </c>
      <c r="I279">
        <v>3534</v>
      </c>
      <c r="J279" s="7">
        <v>768.33</v>
      </c>
      <c r="K279">
        <f>Table1_1[[#This Row],[Sales]]/Table1_1[[#This Row],[Profit2]]*100</f>
        <v>459.95861153410641</v>
      </c>
    </row>
    <row r="280" spans="1:11" x14ac:dyDescent="0.25">
      <c r="A280" t="s">
        <v>288</v>
      </c>
      <c r="B280" s="4">
        <v>45315</v>
      </c>
      <c r="C280" t="s">
        <v>465</v>
      </c>
      <c r="D280" t="s">
        <v>551</v>
      </c>
      <c r="E280" t="s">
        <v>556</v>
      </c>
      <c r="F280" t="s">
        <v>565</v>
      </c>
      <c r="G280">
        <v>1</v>
      </c>
      <c r="H280">
        <v>928</v>
      </c>
      <c r="I280">
        <v>928</v>
      </c>
      <c r="J280" s="7">
        <v>343.58</v>
      </c>
      <c r="K280">
        <f>Table1_1[[#This Row],[Sales]]/Table1_1[[#This Row],[Profit2]]*100</f>
        <v>270.09721171197396</v>
      </c>
    </row>
    <row r="281" spans="1:11" x14ac:dyDescent="0.25">
      <c r="A281" t="s">
        <v>289</v>
      </c>
      <c r="B281" s="4">
        <v>45361</v>
      </c>
      <c r="C281" t="s">
        <v>505</v>
      </c>
      <c r="D281" t="s">
        <v>552</v>
      </c>
      <c r="E281" t="s">
        <v>556</v>
      </c>
      <c r="F281" t="s">
        <v>568</v>
      </c>
      <c r="G281">
        <v>5</v>
      </c>
      <c r="H281">
        <v>2243</v>
      </c>
      <c r="I281">
        <v>11215</v>
      </c>
      <c r="J281" s="7">
        <v>2220.48</v>
      </c>
      <c r="K281">
        <f>Table1_1[[#This Row],[Sales]]/Table1_1[[#This Row],[Profit2]]*100</f>
        <v>505.07097564490556</v>
      </c>
    </row>
    <row r="282" spans="1:11" x14ac:dyDescent="0.25">
      <c r="A282" t="s">
        <v>290</v>
      </c>
      <c r="B282" s="4">
        <v>45470</v>
      </c>
      <c r="C282" t="s">
        <v>448</v>
      </c>
      <c r="D282" t="s">
        <v>550</v>
      </c>
      <c r="E282" t="s">
        <v>553</v>
      </c>
      <c r="F282" t="s">
        <v>560</v>
      </c>
      <c r="G282">
        <v>9</v>
      </c>
      <c r="H282">
        <v>4397</v>
      </c>
      <c r="I282">
        <v>39573</v>
      </c>
      <c r="J282" s="7">
        <v>13461.94</v>
      </c>
      <c r="K282">
        <f>Table1_1[[#This Row],[Sales]]/Table1_1[[#This Row],[Profit2]]*100</f>
        <v>293.96208867369779</v>
      </c>
    </row>
    <row r="283" spans="1:11" x14ac:dyDescent="0.25">
      <c r="A283" t="s">
        <v>291</v>
      </c>
      <c r="B283" s="4">
        <v>45517</v>
      </c>
      <c r="C283" t="s">
        <v>425</v>
      </c>
      <c r="D283" t="s">
        <v>550</v>
      </c>
      <c r="E283" t="s">
        <v>555</v>
      </c>
      <c r="F283" t="s">
        <v>566</v>
      </c>
      <c r="G283">
        <v>6</v>
      </c>
      <c r="H283">
        <v>3696</v>
      </c>
      <c r="I283">
        <v>22176</v>
      </c>
      <c r="J283" s="7">
        <v>7471.35</v>
      </c>
      <c r="K283">
        <f>Table1_1[[#This Row],[Sales]]/Table1_1[[#This Row],[Profit2]]*100</f>
        <v>296.81382882611575</v>
      </c>
    </row>
    <row r="284" spans="1:11" x14ac:dyDescent="0.25">
      <c r="A284" t="s">
        <v>292</v>
      </c>
      <c r="B284" s="4">
        <v>45314</v>
      </c>
      <c r="C284" t="s">
        <v>454</v>
      </c>
      <c r="D284" t="s">
        <v>552</v>
      </c>
      <c r="E284" t="s">
        <v>554</v>
      </c>
      <c r="F284" t="s">
        <v>558</v>
      </c>
      <c r="G284">
        <v>7</v>
      </c>
      <c r="H284">
        <v>978</v>
      </c>
      <c r="I284">
        <v>6846</v>
      </c>
      <c r="J284" s="7">
        <v>1454.24</v>
      </c>
      <c r="K284">
        <f>Table1_1[[#This Row],[Sales]]/Table1_1[[#This Row],[Profit2]]*100</f>
        <v>470.76135988557598</v>
      </c>
    </row>
    <row r="285" spans="1:11" x14ac:dyDescent="0.25">
      <c r="A285" t="s">
        <v>293</v>
      </c>
      <c r="B285" s="4">
        <v>45395</v>
      </c>
      <c r="C285" t="s">
        <v>518</v>
      </c>
      <c r="D285" t="s">
        <v>549</v>
      </c>
      <c r="E285" t="s">
        <v>553</v>
      </c>
      <c r="F285" t="s">
        <v>571</v>
      </c>
      <c r="G285">
        <v>5</v>
      </c>
      <c r="H285">
        <v>413</v>
      </c>
      <c r="I285">
        <v>2065</v>
      </c>
      <c r="J285" s="7">
        <v>350.94</v>
      </c>
      <c r="K285">
        <f>Table1_1[[#This Row],[Sales]]/Table1_1[[#This Row],[Profit2]]*100</f>
        <v>588.41967287855482</v>
      </c>
    </row>
    <row r="286" spans="1:11" x14ac:dyDescent="0.25">
      <c r="A286" t="s">
        <v>294</v>
      </c>
      <c r="B286" s="4">
        <v>45581</v>
      </c>
      <c r="C286" t="s">
        <v>536</v>
      </c>
      <c r="D286" t="s">
        <v>552</v>
      </c>
      <c r="E286" t="s">
        <v>555</v>
      </c>
      <c r="F286" t="s">
        <v>567</v>
      </c>
      <c r="G286">
        <v>6</v>
      </c>
      <c r="H286">
        <v>3962</v>
      </c>
      <c r="I286">
        <v>23772</v>
      </c>
      <c r="J286" s="7">
        <v>4800.17</v>
      </c>
      <c r="K286">
        <f>Table1_1[[#This Row],[Sales]]/Table1_1[[#This Row],[Profit2]]*100</f>
        <v>495.23246051702341</v>
      </c>
    </row>
    <row r="287" spans="1:11" x14ac:dyDescent="0.25">
      <c r="A287" t="s">
        <v>295</v>
      </c>
      <c r="B287" s="4">
        <v>45346</v>
      </c>
      <c r="C287" t="s">
        <v>441</v>
      </c>
      <c r="D287" t="s">
        <v>549</v>
      </c>
      <c r="E287" t="s">
        <v>556</v>
      </c>
      <c r="F287" t="s">
        <v>565</v>
      </c>
      <c r="G287">
        <v>5</v>
      </c>
      <c r="H287">
        <v>1776</v>
      </c>
      <c r="I287">
        <v>8880</v>
      </c>
      <c r="J287" s="7">
        <v>3131.33</v>
      </c>
      <c r="K287">
        <f>Table1_1[[#This Row],[Sales]]/Table1_1[[#This Row],[Profit2]]*100</f>
        <v>283.58556907128923</v>
      </c>
    </row>
    <row r="288" spans="1:11" x14ac:dyDescent="0.25">
      <c r="A288" t="s">
        <v>296</v>
      </c>
      <c r="B288" s="4">
        <v>45486</v>
      </c>
      <c r="C288" t="s">
        <v>438</v>
      </c>
      <c r="D288" t="s">
        <v>551</v>
      </c>
      <c r="E288" t="s">
        <v>556</v>
      </c>
      <c r="F288" t="s">
        <v>561</v>
      </c>
      <c r="G288">
        <v>9</v>
      </c>
      <c r="H288">
        <v>2648</v>
      </c>
      <c r="I288">
        <v>23832</v>
      </c>
      <c r="J288" s="7">
        <v>8770.24</v>
      </c>
      <c r="K288">
        <f>Table1_1[[#This Row],[Sales]]/Table1_1[[#This Row],[Profit2]]*100</f>
        <v>271.73714744408363</v>
      </c>
    </row>
    <row r="289" spans="1:11" x14ac:dyDescent="0.25">
      <c r="A289" t="s">
        <v>297</v>
      </c>
      <c r="B289" s="4">
        <v>45384</v>
      </c>
      <c r="C289" t="s">
        <v>478</v>
      </c>
      <c r="D289" t="s">
        <v>551</v>
      </c>
      <c r="E289" t="s">
        <v>555</v>
      </c>
      <c r="F289" t="s">
        <v>570</v>
      </c>
      <c r="G289">
        <v>6</v>
      </c>
      <c r="H289">
        <v>3136</v>
      </c>
      <c r="I289">
        <v>18816</v>
      </c>
      <c r="J289" s="7">
        <v>5560.12</v>
      </c>
      <c r="K289">
        <f>Table1_1[[#This Row],[Sales]]/Table1_1[[#This Row],[Profit2]]*100</f>
        <v>338.40996237491277</v>
      </c>
    </row>
    <row r="290" spans="1:11" x14ac:dyDescent="0.25">
      <c r="A290" t="s">
        <v>298</v>
      </c>
      <c r="B290" s="4">
        <v>45572</v>
      </c>
      <c r="C290" t="s">
        <v>462</v>
      </c>
      <c r="D290" t="s">
        <v>551</v>
      </c>
      <c r="E290" t="s">
        <v>554</v>
      </c>
      <c r="F290" t="s">
        <v>558</v>
      </c>
      <c r="G290">
        <v>8</v>
      </c>
      <c r="H290">
        <v>3317</v>
      </c>
      <c r="I290">
        <v>26536</v>
      </c>
      <c r="J290" s="7">
        <v>9697.5300000000007</v>
      </c>
      <c r="K290">
        <f>Table1_1[[#This Row],[Sales]]/Table1_1[[#This Row],[Profit2]]*100</f>
        <v>273.63668893006775</v>
      </c>
    </row>
    <row r="291" spans="1:11" x14ac:dyDescent="0.25">
      <c r="A291" t="s">
        <v>299</v>
      </c>
      <c r="B291" s="4">
        <v>45627</v>
      </c>
      <c r="C291" t="s">
        <v>510</v>
      </c>
      <c r="D291" t="s">
        <v>550</v>
      </c>
      <c r="E291" t="s">
        <v>556</v>
      </c>
      <c r="F291" t="s">
        <v>568</v>
      </c>
      <c r="G291">
        <v>2</v>
      </c>
      <c r="H291">
        <v>791</v>
      </c>
      <c r="I291">
        <v>1582</v>
      </c>
      <c r="J291" s="7">
        <v>192.72</v>
      </c>
      <c r="K291">
        <f>Table1_1[[#This Row],[Sales]]/Table1_1[[#This Row],[Profit2]]*100</f>
        <v>820.88003320880034</v>
      </c>
    </row>
    <row r="292" spans="1:11" x14ac:dyDescent="0.25">
      <c r="A292" t="s">
        <v>300</v>
      </c>
      <c r="B292" s="4">
        <v>45304</v>
      </c>
      <c r="C292" t="s">
        <v>515</v>
      </c>
      <c r="D292" t="s">
        <v>551</v>
      </c>
      <c r="E292" t="s">
        <v>556</v>
      </c>
      <c r="F292" t="s">
        <v>563</v>
      </c>
      <c r="G292">
        <v>9</v>
      </c>
      <c r="H292">
        <v>2920</v>
      </c>
      <c r="I292">
        <v>26280</v>
      </c>
      <c r="J292" s="7">
        <v>2773.16</v>
      </c>
      <c r="K292">
        <f>Table1_1[[#This Row],[Sales]]/Table1_1[[#This Row],[Profit2]]*100</f>
        <v>947.65538230754805</v>
      </c>
    </row>
    <row r="293" spans="1:11" x14ac:dyDescent="0.25">
      <c r="A293" t="s">
        <v>301</v>
      </c>
      <c r="B293" s="4">
        <v>45443</v>
      </c>
      <c r="C293" t="s">
        <v>434</v>
      </c>
      <c r="D293" t="s">
        <v>549</v>
      </c>
      <c r="E293" t="s">
        <v>556</v>
      </c>
      <c r="F293" t="s">
        <v>565</v>
      </c>
      <c r="G293">
        <v>5</v>
      </c>
      <c r="H293">
        <v>913</v>
      </c>
      <c r="I293">
        <v>4565</v>
      </c>
      <c r="J293" s="7">
        <v>749.27</v>
      </c>
      <c r="K293">
        <f>Table1_1[[#This Row],[Sales]]/Table1_1[[#This Row],[Profit2]]*100</f>
        <v>609.25967942130342</v>
      </c>
    </row>
    <row r="294" spans="1:11" x14ac:dyDescent="0.25">
      <c r="A294" t="s">
        <v>302</v>
      </c>
      <c r="B294" s="4">
        <v>45644</v>
      </c>
      <c r="C294" t="s">
        <v>537</v>
      </c>
      <c r="D294" t="s">
        <v>551</v>
      </c>
      <c r="E294" t="s">
        <v>555</v>
      </c>
      <c r="F294" t="s">
        <v>567</v>
      </c>
      <c r="G294">
        <v>7</v>
      </c>
      <c r="H294">
        <v>1135</v>
      </c>
      <c r="I294">
        <v>7945</v>
      </c>
      <c r="J294" s="7">
        <v>1801.14</v>
      </c>
      <c r="K294">
        <f>Table1_1[[#This Row],[Sales]]/Table1_1[[#This Row],[Profit2]]*100</f>
        <v>441.10951952652204</v>
      </c>
    </row>
    <row r="295" spans="1:11" x14ac:dyDescent="0.25">
      <c r="A295" t="s">
        <v>303</v>
      </c>
      <c r="B295" s="4">
        <v>45582</v>
      </c>
      <c r="C295" t="s">
        <v>435</v>
      </c>
      <c r="D295" t="s">
        <v>552</v>
      </c>
      <c r="E295" t="s">
        <v>553</v>
      </c>
      <c r="F295" t="s">
        <v>562</v>
      </c>
      <c r="G295">
        <v>1</v>
      </c>
      <c r="H295">
        <v>4537</v>
      </c>
      <c r="I295">
        <v>4537</v>
      </c>
      <c r="J295" s="7">
        <v>1710.51</v>
      </c>
      <c r="K295">
        <f>Table1_1[[#This Row],[Sales]]/Table1_1[[#This Row],[Profit2]]*100</f>
        <v>265.24253000567086</v>
      </c>
    </row>
    <row r="296" spans="1:11" x14ac:dyDescent="0.25">
      <c r="A296" t="s">
        <v>304</v>
      </c>
      <c r="B296" s="4">
        <v>45611</v>
      </c>
      <c r="C296" t="s">
        <v>417</v>
      </c>
      <c r="D296" t="s">
        <v>552</v>
      </c>
      <c r="E296" t="s">
        <v>556</v>
      </c>
      <c r="F296" t="s">
        <v>569</v>
      </c>
      <c r="G296">
        <v>5</v>
      </c>
      <c r="H296">
        <v>201</v>
      </c>
      <c r="I296">
        <v>1005</v>
      </c>
      <c r="J296" s="7">
        <v>357.65</v>
      </c>
      <c r="K296">
        <f>Table1_1[[#This Row],[Sales]]/Table1_1[[#This Row],[Profit2]]*100</f>
        <v>281.00097861037329</v>
      </c>
    </row>
    <row r="297" spans="1:11" x14ac:dyDescent="0.25">
      <c r="A297" t="s">
        <v>305</v>
      </c>
      <c r="B297" s="4">
        <v>45468</v>
      </c>
      <c r="C297" t="s">
        <v>525</v>
      </c>
      <c r="D297" t="s">
        <v>550</v>
      </c>
      <c r="E297" t="s">
        <v>553</v>
      </c>
      <c r="F297" t="s">
        <v>576</v>
      </c>
      <c r="G297">
        <v>2</v>
      </c>
      <c r="H297">
        <v>3048</v>
      </c>
      <c r="I297">
        <v>6096</v>
      </c>
      <c r="J297" s="7">
        <v>2359.0100000000002</v>
      </c>
      <c r="K297">
        <f>Table1_1[[#This Row],[Sales]]/Table1_1[[#This Row],[Profit2]]*100</f>
        <v>258.41348701362011</v>
      </c>
    </row>
    <row r="298" spans="1:11" x14ac:dyDescent="0.25">
      <c r="A298" t="s">
        <v>306</v>
      </c>
      <c r="B298" s="4">
        <v>45308</v>
      </c>
      <c r="C298" t="s">
        <v>474</v>
      </c>
      <c r="D298" t="s">
        <v>552</v>
      </c>
      <c r="E298" t="s">
        <v>554</v>
      </c>
      <c r="F298" t="s">
        <v>574</v>
      </c>
      <c r="G298">
        <v>6</v>
      </c>
      <c r="H298">
        <v>4244</v>
      </c>
      <c r="I298">
        <v>25464</v>
      </c>
      <c r="J298" s="7">
        <v>5045.3599999999997</v>
      </c>
      <c r="K298">
        <f>Table1_1[[#This Row],[Sales]]/Table1_1[[#This Row],[Profit2]]*100</f>
        <v>504.7013493586187</v>
      </c>
    </row>
    <row r="299" spans="1:11" x14ac:dyDescent="0.25">
      <c r="A299" t="s">
        <v>307</v>
      </c>
      <c r="B299" s="4">
        <v>45422</v>
      </c>
      <c r="C299" t="s">
        <v>417</v>
      </c>
      <c r="D299" t="s">
        <v>549</v>
      </c>
      <c r="E299" t="s">
        <v>556</v>
      </c>
      <c r="F299" t="s">
        <v>563</v>
      </c>
      <c r="G299">
        <v>1</v>
      </c>
      <c r="H299">
        <v>2149</v>
      </c>
      <c r="I299">
        <v>2149</v>
      </c>
      <c r="J299" s="7">
        <v>353.71</v>
      </c>
      <c r="K299">
        <f>Table1_1[[#This Row],[Sales]]/Table1_1[[#This Row],[Profit2]]*100</f>
        <v>607.5598654264794</v>
      </c>
    </row>
    <row r="300" spans="1:11" x14ac:dyDescent="0.25">
      <c r="A300" t="s">
        <v>308</v>
      </c>
      <c r="B300" s="4">
        <v>45548</v>
      </c>
      <c r="C300" t="s">
        <v>443</v>
      </c>
      <c r="D300" t="s">
        <v>551</v>
      </c>
      <c r="E300" t="s">
        <v>556</v>
      </c>
      <c r="F300" t="s">
        <v>568</v>
      </c>
      <c r="G300">
        <v>3</v>
      </c>
      <c r="H300">
        <v>1117</v>
      </c>
      <c r="I300">
        <v>3351</v>
      </c>
      <c r="J300" s="7">
        <v>914.28</v>
      </c>
      <c r="K300">
        <f>Table1_1[[#This Row],[Sales]]/Table1_1[[#This Row],[Profit2]]*100</f>
        <v>366.51791573697341</v>
      </c>
    </row>
    <row r="301" spans="1:11" x14ac:dyDescent="0.25">
      <c r="A301" t="s">
        <v>309</v>
      </c>
      <c r="B301" s="4">
        <v>45656</v>
      </c>
      <c r="C301" t="s">
        <v>488</v>
      </c>
      <c r="D301" t="s">
        <v>550</v>
      </c>
      <c r="E301" t="s">
        <v>554</v>
      </c>
      <c r="F301" t="s">
        <v>572</v>
      </c>
      <c r="G301">
        <v>5</v>
      </c>
      <c r="H301">
        <v>3374</v>
      </c>
      <c r="I301">
        <v>16870</v>
      </c>
      <c r="J301" s="7">
        <v>5295.39</v>
      </c>
      <c r="K301">
        <f>Table1_1[[#This Row],[Sales]]/Table1_1[[#This Row],[Profit2]]*100</f>
        <v>318.5789904048616</v>
      </c>
    </row>
    <row r="302" spans="1:11" x14ac:dyDescent="0.25">
      <c r="A302" t="s">
        <v>310</v>
      </c>
      <c r="B302" s="4">
        <v>45395</v>
      </c>
      <c r="C302" t="s">
        <v>441</v>
      </c>
      <c r="D302" t="s">
        <v>551</v>
      </c>
      <c r="E302" t="s">
        <v>556</v>
      </c>
      <c r="F302" t="s">
        <v>568</v>
      </c>
      <c r="G302">
        <v>4</v>
      </c>
      <c r="H302">
        <v>2441</v>
      </c>
      <c r="I302">
        <v>9764</v>
      </c>
      <c r="J302" s="7">
        <v>2603.2800000000002</v>
      </c>
      <c r="K302">
        <f>Table1_1[[#This Row],[Sales]]/Table1_1[[#This Row],[Profit2]]*100</f>
        <v>375.06530223410465</v>
      </c>
    </row>
    <row r="303" spans="1:11" x14ac:dyDescent="0.25">
      <c r="A303" t="s">
        <v>311</v>
      </c>
      <c r="B303" s="4">
        <v>45579</v>
      </c>
      <c r="C303" t="s">
        <v>475</v>
      </c>
      <c r="D303" t="s">
        <v>551</v>
      </c>
      <c r="E303" t="s">
        <v>553</v>
      </c>
      <c r="F303" t="s">
        <v>562</v>
      </c>
      <c r="G303">
        <v>3</v>
      </c>
      <c r="H303">
        <v>289</v>
      </c>
      <c r="I303">
        <v>867</v>
      </c>
      <c r="J303" s="7">
        <v>315.37</v>
      </c>
      <c r="K303">
        <f>Table1_1[[#This Row],[Sales]]/Table1_1[[#This Row],[Profit2]]*100</f>
        <v>274.91517899609983</v>
      </c>
    </row>
    <row r="304" spans="1:11" x14ac:dyDescent="0.25">
      <c r="A304" t="s">
        <v>312</v>
      </c>
      <c r="B304" s="4">
        <v>45383</v>
      </c>
      <c r="C304" t="s">
        <v>469</v>
      </c>
      <c r="D304" t="s">
        <v>549</v>
      </c>
      <c r="E304" t="s">
        <v>555</v>
      </c>
      <c r="F304" t="s">
        <v>566</v>
      </c>
      <c r="G304">
        <v>5</v>
      </c>
      <c r="H304">
        <v>1909</v>
      </c>
      <c r="I304">
        <v>9545</v>
      </c>
      <c r="J304" s="7">
        <v>1204.49</v>
      </c>
      <c r="K304">
        <f>Table1_1[[#This Row],[Sales]]/Table1_1[[#This Row],[Profit2]]*100</f>
        <v>792.45157701599851</v>
      </c>
    </row>
    <row r="305" spans="1:11" x14ac:dyDescent="0.25">
      <c r="A305" t="s">
        <v>313</v>
      </c>
      <c r="B305" s="4">
        <v>45463</v>
      </c>
      <c r="C305" t="s">
        <v>440</v>
      </c>
      <c r="D305" t="s">
        <v>552</v>
      </c>
      <c r="E305" t="s">
        <v>553</v>
      </c>
      <c r="F305" t="s">
        <v>562</v>
      </c>
      <c r="G305">
        <v>8</v>
      </c>
      <c r="H305">
        <v>2369</v>
      </c>
      <c r="I305">
        <v>18952</v>
      </c>
      <c r="J305" s="7">
        <v>6374.28</v>
      </c>
      <c r="K305">
        <f>Table1_1[[#This Row],[Sales]]/Table1_1[[#This Row],[Profit2]]*100</f>
        <v>297.31985416392126</v>
      </c>
    </row>
    <row r="306" spans="1:11" x14ac:dyDescent="0.25">
      <c r="A306" t="s">
        <v>314</v>
      </c>
      <c r="B306" s="4">
        <v>45482</v>
      </c>
      <c r="C306" t="s">
        <v>434</v>
      </c>
      <c r="D306" t="s">
        <v>552</v>
      </c>
      <c r="E306" t="s">
        <v>555</v>
      </c>
      <c r="F306" t="s">
        <v>566</v>
      </c>
      <c r="G306">
        <v>4</v>
      </c>
      <c r="H306">
        <v>4438</v>
      </c>
      <c r="I306">
        <v>17752</v>
      </c>
      <c r="J306" s="7">
        <v>5550.03</v>
      </c>
      <c r="K306">
        <f>Table1_1[[#This Row],[Sales]]/Table1_1[[#This Row],[Profit2]]*100</f>
        <v>319.85412691462926</v>
      </c>
    </row>
    <row r="307" spans="1:11" x14ac:dyDescent="0.25">
      <c r="A307" t="s">
        <v>315</v>
      </c>
      <c r="B307" s="4">
        <v>45344</v>
      </c>
      <c r="C307" t="s">
        <v>427</v>
      </c>
      <c r="D307" t="s">
        <v>551</v>
      </c>
      <c r="E307" t="s">
        <v>555</v>
      </c>
      <c r="F307" t="s">
        <v>559</v>
      </c>
      <c r="G307">
        <v>1</v>
      </c>
      <c r="H307">
        <v>3241</v>
      </c>
      <c r="I307">
        <v>3241</v>
      </c>
      <c r="J307" s="7">
        <v>560.64</v>
      </c>
      <c r="K307">
        <f>Table1_1[[#This Row],[Sales]]/Table1_1[[#This Row],[Profit2]]*100</f>
        <v>578.08932648401822</v>
      </c>
    </row>
    <row r="308" spans="1:11" x14ac:dyDescent="0.25">
      <c r="A308" t="s">
        <v>316</v>
      </c>
      <c r="B308" s="4">
        <v>45325</v>
      </c>
      <c r="C308" t="s">
        <v>458</v>
      </c>
      <c r="D308" t="s">
        <v>550</v>
      </c>
      <c r="E308" t="s">
        <v>553</v>
      </c>
      <c r="F308" t="s">
        <v>560</v>
      </c>
      <c r="G308">
        <v>7</v>
      </c>
      <c r="H308">
        <v>305</v>
      </c>
      <c r="I308">
        <v>2135</v>
      </c>
      <c r="J308" s="7">
        <v>583.9</v>
      </c>
      <c r="K308">
        <f>Table1_1[[#This Row],[Sales]]/Table1_1[[#This Row],[Profit2]]*100</f>
        <v>365.64480219215619</v>
      </c>
    </row>
    <row r="309" spans="1:11" x14ac:dyDescent="0.25">
      <c r="A309" t="s">
        <v>317</v>
      </c>
      <c r="B309" s="4">
        <v>45315</v>
      </c>
      <c r="C309" t="s">
        <v>538</v>
      </c>
      <c r="D309" t="s">
        <v>552</v>
      </c>
      <c r="E309" t="s">
        <v>553</v>
      </c>
      <c r="F309" t="s">
        <v>571</v>
      </c>
      <c r="G309">
        <v>8</v>
      </c>
      <c r="H309">
        <v>1086</v>
      </c>
      <c r="I309">
        <v>8688</v>
      </c>
      <c r="J309" s="7">
        <v>2303.91</v>
      </c>
      <c r="K309">
        <f>Table1_1[[#This Row],[Sales]]/Table1_1[[#This Row],[Profit2]]*100</f>
        <v>377.09806372644766</v>
      </c>
    </row>
    <row r="310" spans="1:11" x14ac:dyDescent="0.25">
      <c r="A310" t="s">
        <v>318</v>
      </c>
      <c r="B310" s="4">
        <v>45292</v>
      </c>
      <c r="C310" t="s">
        <v>536</v>
      </c>
      <c r="D310" t="s">
        <v>550</v>
      </c>
      <c r="E310" t="s">
        <v>553</v>
      </c>
      <c r="F310" t="s">
        <v>571</v>
      </c>
      <c r="G310">
        <v>3</v>
      </c>
      <c r="H310">
        <v>627</v>
      </c>
      <c r="I310">
        <v>1881</v>
      </c>
      <c r="J310" s="7">
        <v>235.42</v>
      </c>
      <c r="K310">
        <f>Table1_1[[#This Row],[Sales]]/Table1_1[[#This Row],[Profit2]]*100</f>
        <v>798.99753631806993</v>
      </c>
    </row>
    <row r="311" spans="1:11" x14ac:dyDescent="0.25">
      <c r="A311" t="s">
        <v>319</v>
      </c>
      <c r="B311" s="4">
        <v>45381</v>
      </c>
      <c r="C311" t="s">
        <v>539</v>
      </c>
      <c r="D311" t="s">
        <v>552</v>
      </c>
      <c r="E311" t="s">
        <v>553</v>
      </c>
      <c r="F311" t="s">
        <v>562</v>
      </c>
      <c r="G311">
        <v>6</v>
      </c>
      <c r="H311">
        <v>2095</v>
      </c>
      <c r="I311">
        <v>12570</v>
      </c>
      <c r="J311" s="7">
        <v>3508.18</v>
      </c>
      <c r="K311">
        <f>Table1_1[[#This Row],[Sales]]/Table1_1[[#This Row],[Profit2]]*100</f>
        <v>358.30544612876196</v>
      </c>
    </row>
    <row r="312" spans="1:11" x14ac:dyDescent="0.25">
      <c r="A312" t="s">
        <v>320</v>
      </c>
      <c r="B312" s="4">
        <v>45420</v>
      </c>
      <c r="C312" t="s">
        <v>518</v>
      </c>
      <c r="D312" t="s">
        <v>550</v>
      </c>
      <c r="E312" t="s">
        <v>554</v>
      </c>
      <c r="F312" t="s">
        <v>573</v>
      </c>
      <c r="G312">
        <v>2</v>
      </c>
      <c r="H312">
        <v>516</v>
      </c>
      <c r="I312">
        <v>1032</v>
      </c>
      <c r="J312" s="7">
        <v>400.78</v>
      </c>
      <c r="K312">
        <f>Table1_1[[#This Row],[Sales]]/Table1_1[[#This Row],[Profit2]]*100</f>
        <v>257.49787913568542</v>
      </c>
    </row>
    <row r="313" spans="1:11" x14ac:dyDescent="0.25">
      <c r="A313" t="s">
        <v>321</v>
      </c>
      <c r="B313" s="4">
        <v>45365</v>
      </c>
      <c r="C313" t="s">
        <v>530</v>
      </c>
      <c r="D313" t="s">
        <v>549</v>
      </c>
      <c r="E313" t="s">
        <v>556</v>
      </c>
      <c r="F313" t="s">
        <v>565</v>
      </c>
      <c r="G313">
        <v>7</v>
      </c>
      <c r="H313">
        <v>834</v>
      </c>
      <c r="I313">
        <v>5838</v>
      </c>
      <c r="J313" s="7">
        <v>1784.24</v>
      </c>
      <c r="K313">
        <f>Table1_1[[#This Row],[Sales]]/Table1_1[[#This Row],[Profit2]]*100</f>
        <v>327.19813478007444</v>
      </c>
    </row>
    <row r="314" spans="1:11" x14ac:dyDescent="0.25">
      <c r="A314" t="s">
        <v>322</v>
      </c>
      <c r="B314" s="4">
        <v>45566</v>
      </c>
      <c r="C314" t="s">
        <v>434</v>
      </c>
      <c r="D314" t="s">
        <v>550</v>
      </c>
      <c r="E314" t="s">
        <v>555</v>
      </c>
      <c r="F314" t="s">
        <v>570</v>
      </c>
      <c r="G314">
        <v>8</v>
      </c>
      <c r="H314">
        <v>2125</v>
      </c>
      <c r="I314">
        <v>17000</v>
      </c>
      <c r="J314" s="7">
        <v>2407.71</v>
      </c>
      <c r="K314">
        <f>Table1_1[[#This Row],[Sales]]/Table1_1[[#This Row],[Profit2]]*100</f>
        <v>706.06509920214637</v>
      </c>
    </row>
    <row r="315" spans="1:11" x14ac:dyDescent="0.25">
      <c r="A315" t="s">
        <v>323</v>
      </c>
      <c r="B315" s="4">
        <v>45574</v>
      </c>
      <c r="C315" t="s">
        <v>534</v>
      </c>
      <c r="D315" t="s">
        <v>549</v>
      </c>
      <c r="E315" t="s">
        <v>553</v>
      </c>
      <c r="F315" t="s">
        <v>576</v>
      </c>
      <c r="G315">
        <v>6</v>
      </c>
      <c r="H315">
        <v>2256</v>
      </c>
      <c r="I315">
        <v>13536</v>
      </c>
      <c r="J315" s="7">
        <v>1660.79</v>
      </c>
      <c r="K315">
        <f>Table1_1[[#This Row],[Sales]]/Table1_1[[#This Row],[Profit2]]*100</f>
        <v>815.03380921127905</v>
      </c>
    </row>
    <row r="316" spans="1:11" x14ac:dyDescent="0.25">
      <c r="A316" t="s">
        <v>324</v>
      </c>
      <c r="B316" s="4">
        <v>45531</v>
      </c>
      <c r="C316" t="s">
        <v>529</v>
      </c>
      <c r="D316" t="s">
        <v>549</v>
      </c>
      <c r="E316" t="s">
        <v>553</v>
      </c>
      <c r="F316" t="s">
        <v>571</v>
      </c>
      <c r="G316">
        <v>6</v>
      </c>
      <c r="H316">
        <v>3344</v>
      </c>
      <c r="I316">
        <v>20064</v>
      </c>
      <c r="J316" s="7">
        <v>2496.35</v>
      </c>
      <c r="K316">
        <f>Table1_1[[#This Row],[Sales]]/Table1_1[[#This Row],[Profit2]]*100</f>
        <v>803.73345083822392</v>
      </c>
    </row>
    <row r="317" spans="1:11" x14ac:dyDescent="0.25">
      <c r="A317" t="s">
        <v>325</v>
      </c>
      <c r="B317" s="4">
        <v>45638</v>
      </c>
      <c r="C317" t="s">
        <v>490</v>
      </c>
      <c r="D317" t="s">
        <v>550</v>
      </c>
      <c r="E317" t="s">
        <v>553</v>
      </c>
      <c r="F317" t="s">
        <v>557</v>
      </c>
      <c r="G317">
        <v>5</v>
      </c>
      <c r="H317">
        <v>2470</v>
      </c>
      <c r="I317">
        <v>12350</v>
      </c>
      <c r="J317" s="7">
        <v>3838.54</v>
      </c>
      <c r="K317">
        <f>Table1_1[[#This Row],[Sales]]/Table1_1[[#This Row],[Profit2]]*100</f>
        <v>321.73691038780368</v>
      </c>
    </row>
    <row r="318" spans="1:11" x14ac:dyDescent="0.25">
      <c r="A318" t="s">
        <v>326</v>
      </c>
      <c r="B318" s="4">
        <v>45417</v>
      </c>
      <c r="C318" t="s">
        <v>416</v>
      </c>
      <c r="D318" t="s">
        <v>549</v>
      </c>
      <c r="E318" t="s">
        <v>554</v>
      </c>
      <c r="F318" t="s">
        <v>558</v>
      </c>
      <c r="G318">
        <v>8</v>
      </c>
      <c r="H318">
        <v>1639</v>
      </c>
      <c r="I318">
        <v>13112</v>
      </c>
      <c r="J318" s="7">
        <v>4840.5600000000004</v>
      </c>
      <c r="K318">
        <f>Table1_1[[#This Row],[Sales]]/Table1_1[[#This Row],[Profit2]]*100</f>
        <v>270.87774968185499</v>
      </c>
    </row>
    <row r="319" spans="1:11" x14ac:dyDescent="0.25">
      <c r="A319" t="s">
        <v>327</v>
      </c>
      <c r="B319" s="4">
        <v>45388</v>
      </c>
      <c r="C319" t="s">
        <v>509</v>
      </c>
      <c r="D319" t="s">
        <v>551</v>
      </c>
      <c r="E319" t="s">
        <v>553</v>
      </c>
      <c r="F319" t="s">
        <v>571</v>
      </c>
      <c r="G319">
        <v>1</v>
      </c>
      <c r="H319">
        <v>752</v>
      </c>
      <c r="I319">
        <v>752</v>
      </c>
      <c r="J319" s="7">
        <v>172.34</v>
      </c>
      <c r="K319">
        <f>Table1_1[[#This Row],[Sales]]/Table1_1[[#This Row],[Profit2]]*100</f>
        <v>436.34675641174425</v>
      </c>
    </row>
    <row r="320" spans="1:11" x14ac:dyDescent="0.25">
      <c r="A320" t="s">
        <v>328</v>
      </c>
      <c r="B320" s="4">
        <v>45329</v>
      </c>
      <c r="C320" t="s">
        <v>462</v>
      </c>
      <c r="D320" t="s">
        <v>549</v>
      </c>
      <c r="E320" t="s">
        <v>553</v>
      </c>
      <c r="F320" t="s">
        <v>576</v>
      </c>
      <c r="G320">
        <v>4</v>
      </c>
      <c r="H320">
        <v>915</v>
      </c>
      <c r="I320">
        <v>3660</v>
      </c>
      <c r="J320" s="7">
        <v>1014.23</v>
      </c>
      <c r="K320">
        <f>Table1_1[[#This Row],[Sales]]/Table1_1[[#This Row],[Profit2]]*100</f>
        <v>360.86489257860643</v>
      </c>
    </row>
    <row r="321" spans="1:11" x14ac:dyDescent="0.25">
      <c r="A321" t="s">
        <v>329</v>
      </c>
      <c r="B321" s="4">
        <v>45652</v>
      </c>
      <c r="C321" t="s">
        <v>472</v>
      </c>
      <c r="D321" t="s">
        <v>552</v>
      </c>
      <c r="E321" t="s">
        <v>553</v>
      </c>
      <c r="F321" t="s">
        <v>557</v>
      </c>
      <c r="G321">
        <v>4</v>
      </c>
      <c r="H321">
        <v>4111</v>
      </c>
      <c r="I321">
        <v>16444</v>
      </c>
      <c r="J321" s="7">
        <v>3689.38</v>
      </c>
      <c r="K321">
        <f>Table1_1[[#This Row],[Sales]]/Table1_1[[#This Row],[Profit2]]*100</f>
        <v>445.71174560495257</v>
      </c>
    </row>
    <row r="322" spans="1:11" x14ac:dyDescent="0.25">
      <c r="A322" t="s">
        <v>330</v>
      </c>
      <c r="B322" s="4">
        <v>45293</v>
      </c>
      <c r="C322" t="s">
        <v>540</v>
      </c>
      <c r="D322" t="s">
        <v>550</v>
      </c>
      <c r="E322" t="s">
        <v>556</v>
      </c>
      <c r="F322" t="s">
        <v>565</v>
      </c>
      <c r="G322">
        <v>3</v>
      </c>
      <c r="H322">
        <v>1913</v>
      </c>
      <c r="I322">
        <v>5739</v>
      </c>
      <c r="J322" s="7">
        <v>2173.7399999999998</v>
      </c>
      <c r="K322">
        <f>Table1_1[[#This Row],[Sales]]/Table1_1[[#This Row],[Profit2]]*100</f>
        <v>264.01501559524138</v>
      </c>
    </row>
    <row r="323" spans="1:11" x14ac:dyDescent="0.25">
      <c r="A323" t="s">
        <v>331</v>
      </c>
      <c r="B323" s="4">
        <v>45300</v>
      </c>
      <c r="C323" t="s">
        <v>418</v>
      </c>
      <c r="D323" t="s">
        <v>551</v>
      </c>
      <c r="E323" t="s">
        <v>554</v>
      </c>
      <c r="F323" t="s">
        <v>572</v>
      </c>
      <c r="G323">
        <v>3</v>
      </c>
      <c r="H323">
        <v>3589</v>
      </c>
      <c r="I323">
        <v>10767</v>
      </c>
      <c r="J323" s="7">
        <v>2792.48</v>
      </c>
      <c r="K323">
        <f>Table1_1[[#This Row],[Sales]]/Table1_1[[#This Row],[Profit2]]*100</f>
        <v>385.57124849596056</v>
      </c>
    </row>
    <row r="324" spans="1:11" x14ac:dyDescent="0.25">
      <c r="A324" t="s">
        <v>332</v>
      </c>
      <c r="B324" s="4">
        <v>45343</v>
      </c>
      <c r="C324" t="s">
        <v>423</v>
      </c>
      <c r="D324" t="s">
        <v>550</v>
      </c>
      <c r="E324" t="s">
        <v>553</v>
      </c>
      <c r="F324" t="s">
        <v>576</v>
      </c>
      <c r="G324">
        <v>4</v>
      </c>
      <c r="H324">
        <v>1307</v>
      </c>
      <c r="I324">
        <v>5228</v>
      </c>
      <c r="J324" s="7">
        <v>1400.12</v>
      </c>
      <c r="K324">
        <f>Table1_1[[#This Row],[Sales]]/Table1_1[[#This Row],[Profit2]]*100</f>
        <v>373.39656600862787</v>
      </c>
    </row>
    <row r="325" spans="1:11" x14ac:dyDescent="0.25">
      <c r="A325" t="s">
        <v>333</v>
      </c>
      <c r="B325" s="4">
        <v>45427</v>
      </c>
      <c r="C325" t="s">
        <v>489</v>
      </c>
      <c r="D325" t="s">
        <v>552</v>
      </c>
      <c r="E325" t="s">
        <v>555</v>
      </c>
      <c r="F325" t="s">
        <v>567</v>
      </c>
      <c r="G325">
        <v>1</v>
      </c>
      <c r="H325">
        <v>4406</v>
      </c>
      <c r="I325">
        <v>4406</v>
      </c>
      <c r="J325" s="7">
        <v>610.04999999999995</v>
      </c>
      <c r="K325">
        <f>Table1_1[[#This Row],[Sales]]/Table1_1[[#This Row],[Profit2]]*100</f>
        <v>722.2358823047291</v>
      </c>
    </row>
    <row r="326" spans="1:11" x14ac:dyDescent="0.25">
      <c r="A326" t="s">
        <v>334</v>
      </c>
      <c r="B326" s="4">
        <v>45596</v>
      </c>
      <c r="C326" t="s">
        <v>472</v>
      </c>
      <c r="D326" t="s">
        <v>552</v>
      </c>
      <c r="E326" t="s">
        <v>555</v>
      </c>
      <c r="F326" t="s">
        <v>559</v>
      </c>
      <c r="G326">
        <v>2</v>
      </c>
      <c r="H326">
        <v>450</v>
      </c>
      <c r="I326">
        <v>900</v>
      </c>
      <c r="J326" s="7">
        <v>103.99</v>
      </c>
      <c r="K326">
        <f>Table1_1[[#This Row],[Sales]]/Table1_1[[#This Row],[Profit2]]*100</f>
        <v>865.46783344552375</v>
      </c>
    </row>
    <row r="327" spans="1:11" x14ac:dyDescent="0.25">
      <c r="A327" t="s">
        <v>335</v>
      </c>
      <c r="B327" s="4">
        <v>45378</v>
      </c>
      <c r="C327" t="s">
        <v>451</v>
      </c>
      <c r="D327" t="s">
        <v>552</v>
      </c>
      <c r="E327" t="s">
        <v>555</v>
      </c>
      <c r="F327" t="s">
        <v>575</v>
      </c>
      <c r="G327">
        <v>9</v>
      </c>
      <c r="H327">
        <v>2630</v>
      </c>
      <c r="I327">
        <v>23670</v>
      </c>
      <c r="J327" s="7">
        <v>5785.71</v>
      </c>
      <c r="K327">
        <f>Table1_1[[#This Row],[Sales]]/Table1_1[[#This Row],[Profit2]]*100</f>
        <v>409.11141415660313</v>
      </c>
    </row>
    <row r="328" spans="1:11" x14ac:dyDescent="0.25">
      <c r="A328" t="s">
        <v>336</v>
      </c>
      <c r="B328" s="4">
        <v>45516</v>
      </c>
      <c r="C328" t="s">
        <v>455</v>
      </c>
      <c r="D328" t="s">
        <v>549</v>
      </c>
      <c r="E328" t="s">
        <v>554</v>
      </c>
      <c r="F328" t="s">
        <v>573</v>
      </c>
      <c r="G328">
        <v>2</v>
      </c>
      <c r="H328">
        <v>2254</v>
      </c>
      <c r="I328">
        <v>4508</v>
      </c>
      <c r="J328" s="7">
        <v>805.37</v>
      </c>
      <c r="K328">
        <f>Table1_1[[#This Row],[Sales]]/Table1_1[[#This Row],[Profit2]]*100</f>
        <v>559.7427269453791</v>
      </c>
    </row>
    <row r="329" spans="1:11" x14ac:dyDescent="0.25">
      <c r="A329" t="s">
        <v>337</v>
      </c>
      <c r="B329" s="4">
        <v>45477</v>
      </c>
      <c r="C329" t="s">
        <v>480</v>
      </c>
      <c r="D329" t="s">
        <v>549</v>
      </c>
      <c r="E329" t="s">
        <v>554</v>
      </c>
      <c r="F329" t="s">
        <v>558</v>
      </c>
      <c r="G329">
        <v>5</v>
      </c>
      <c r="H329">
        <v>658</v>
      </c>
      <c r="I329">
        <v>3290</v>
      </c>
      <c r="J329" s="7">
        <v>832.89</v>
      </c>
      <c r="K329">
        <f>Table1_1[[#This Row],[Sales]]/Table1_1[[#This Row],[Profit2]]*100</f>
        <v>395.01014539735138</v>
      </c>
    </row>
    <row r="330" spans="1:11" x14ac:dyDescent="0.25">
      <c r="A330" t="s">
        <v>338</v>
      </c>
      <c r="B330" s="4">
        <v>45587</v>
      </c>
      <c r="C330" t="s">
        <v>425</v>
      </c>
      <c r="D330" t="s">
        <v>550</v>
      </c>
      <c r="E330" t="s">
        <v>555</v>
      </c>
      <c r="F330" t="s">
        <v>570</v>
      </c>
      <c r="G330">
        <v>9</v>
      </c>
      <c r="H330">
        <v>407</v>
      </c>
      <c r="I330">
        <v>3663</v>
      </c>
      <c r="J330" s="7">
        <v>1036</v>
      </c>
      <c r="K330">
        <f>Table1_1[[#This Row],[Sales]]/Table1_1[[#This Row],[Profit2]]*100</f>
        <v>353.57142857142856</v>
      </c>
    </row>
    <row r="331" spans="1:11" x14ac:dyDescent="0.25">
      <c r="A331" t="s">
        <v>339</v>
      </c>
      <c r="B331" s="4">
        <v>45395</v>
      </c>
      <c r="C331" t="s">
        <v>457</v>
      </c>
      <c r="D331" t="s">
        <v>550</v>
      </c>
      <c r="E331" t="s">
        <v>553</v>
      </c>
      <c r="F331" t="s">
        <v>571</v>
      </c>
      <c r="G331">
        <v>9</v>
      </c>
      <c r="H331">
        <v>1099</v>
      </c>
      <c r="I331">
        <v>9891</v>
      </c>
      <c r="J331" s="7">
        <v>2341.12</v>
      </c>
      <c r="K331">
        <f>Table1_1[[#This Row],[Sales]]/Table1_1[[#This Row],[Profit2]]*100</f>
        <v>422.49009021323127</v>
      </c>
    </row>
    <row r="332" spans="1:11" x14ac:dyDescent="0.25">
      <c r="A332" t="s">
        <v>340</v>
      </c>
      <c r="B332" s="4">
        <v>45322</v>
      </c>
      <c r="C332" t="s">
        <v>508</v>
      </c>
      <c r="D332" t="s">
        <v>551</v>
      </c>
      <c r="E332" t="s">
        <v>554</v>
      </c>
      <c r="F332" t="s">
        <v>564</v>
      </c>
      <c r="G332">
        <v>8</v>
      </c>
      <c r="H332">
        <v>3661</v>
      </c>
      <c r="I332">
        <v>29288</v>
      </c>
      <c r="J332" s="7">
        <v>6906.15</v>
      </c>
      <c r="K332">
        <f>Table1_1[[#This Row],[Sales]]/Table1_1[[#This Row],[Profit2]]*100</f>
        <v>424.08577861760898</v>
      </c>
    </row>
    <row r="333" spans="1:11" x14ac:dyDescent="0.25">
      <c r="A333" t="s">
        <v>341</v>
      </c>
      <c r="B333" s="4">
        <v>45577</v>
      </c>
      <c r="C333" t="s">
        <v>541</v>
      </c>
      <c r="D333" t="s">
        <v>551</v>
      </c>
      <c r="E333" t="s">
        <v>555</v>
      </c>
      <c r="F333" t="s">
        <v>575</v>
      </c>
      <c r="G333">
        <v>1</v>
      </c>
      <c r="H333">
        <v>3585</v>
      </c>
      <c r="I333">
        <v>3585</v>
      </c>
      <c r="J333" s="7">
        <v>408.86</v>
      </c>
      <c r="K333">
        <f>Table1_1[[#This Row],[Sales]]/Table1_1[[#This Row],[Profit2]]*100</f>
        <v>876.82825417013157</v>
      </c>
    </row>
    <row r="334" spans="1:11" x14ac:dyDescent="0.25">
      <c r="A334" t="s">
        <v>342</v>
      </c>
      <c r="B334" s="4">
        <v>45373</v>
      </c>
      <c r="C334" t="s">
        <v>436</v>
      </c>
      <c r="D334" t="s">
        <v>550</v>
      </c>
      <c r="E334" t="s">
        <v>555</v>
      </c>
      <c r="F334" t="s">
        <v>567</v>
      </c>
      <c r="G334">
        <v>1</v>
      </c>
      <c r="H334">
        <v>221</v>
      </c>
      <c r="I334">
        <v>221</v>
      </c>
      <c r="J334" s="7">
        <v>80.52</v>
      </c>
      <c r="K334">
        <f>Table1_1[[#This Row],[Sales]]/Table1_1[[#This Row],[Profit2]]*100</f>
        <v>274.46597118728266</v>
      </c>
    </row>
    <row r="335" spans="1:11" x14ac:dyDescent="0.25">
      <c r="A335" t="s">
        <v>343</v>
      </c>
      <c r="B335" s="4">
        <v>45485</v>
      </c>
      <c r="C335" t="s">
        <v>538</v>
      </c>
      <c r="D335" t="s">
        <v>549</v>
      </c>
      <c r="E335" t="s">
        <v>553</v>
      </c>
      <c r="F335" t="s">
        <v>576</v>
      </c>
      <c r="G335">
        <v>9</v>
      </c>
      <c r="H335">
        <v>609</v>
      </c>
      <c r="I335">
        <v>5481</v>
      </c>
      <c r="J335" s="7">
        <v>631.1</v>
      </c>
      <c r="K335">
        <f>Table1_1[[#This Row],[Sales]]/Table1_1[[#This Row],[Profit2]]*100</f>
        <v>868.48360006338135</v>
      </c>
    </row>
    <row r="336" spans="1:11" x14ac:dyDescent="0.25">
      <c r="A336" t="s">
        <v>344</v>
      </c>
      <c r="B336" s="4">
        <v>45354</v>
      </c>
      <c r="C336" t="s">
        <v>507</v>
      </c>
      <c r="D336" t="s">
        <v>552</v>
      </c>
      <c r="E336" t="s">
        <v>556</v>
      </c>
      <c r="F336" t="s">
        <v>561</v>
      </c>
      <c r="G336">
        <v>8</v>
      </c>
      <c r="H336">
        <v>1094</v>
      </c>
      <c r="I336">
        <v>8752</v>
      </c>
      <c r="J336" s="7">
        <v>3300.53</v>
      </c>
      <c r="K336">
        <f>Table1_1[[#This Row],[Sales]]/Table1_1[[#This Row],[Profit2]]*100</f>
        <v>265.16953337797264</v>
      </c>
    </row>
    <row r="337" spans="1:11" x14ac:dyDescent="0.25">
      <c r="A337" t="s">
        <v>345</v>
      </c>
      <c r="B337" s="4">
        <v>45417</v>
      </c>
      <c r="C337" t="s">
        <v>424</v>
      </c>
      <c r="D337" t="s">
        <v>550</v>
      </c>
      <c r="E337" t="s">
        <v>554</v>
      </c>
      <c r="F337" t="s">
        <v>574</v>
      </c>
      <c r="G337">
        <v>9</v>
      </c>
      <c r="H337">
        <v>714</v>
      </c>
      <c r="I337">
        <v>6426</v>
      </c>
      <c r="J337" s="7">
        <v>1923.21</v>
      </c>
      <c r="K337">
        <f>Table1_1[[#This Row],[Sales]]/Table1_1[[#This Row],[Profit2]]*100</f>
        <v>334.12887828162292</v>
      </c>
    </row>
    <row r="338" spans="1:11" x14ac:dyDescent="0.25">
      <c r="A338" t="s">
        <v>346</v>
      </c>
      <c r="B338" s="4">
        <v>45573</v>
      </c>
      <c r="C338" t="s">
        <v>479</v>
      </c>
      <c r="D338" t="s">
        <v>551</v>
      </c>
      <c r="E338" t="s">
        <v>553</v>
      </c>
      <c r="F338" t="s">
        <v>557</v>
      </c>
      <c r="G338">
        <v>7</v>
      </c>
      <c r="H338">
        <v>4309</v>
      </c>
      <c r="I338">
        <v>30163</v>
      </c>
      <c r="J338" s="7">
        <v>6497.93</v>
      </c>
      <c r="K338">
        <f>Table1_1[[#This Row],[Sales]]/Table1_1[[#This Row],[Profit2]]*100</f>
        <v>464.1939817757347</v>
      </c>
    </row>
    <row r="339" spans="1:11" x14ac:dyDescent="0.25">
      <c r="A339" t="s">
        <v>347</v>
      </c>
      <c r="B339" s="4">
        <v>45340</v>
      </c>
      <c r="C339" t="s">
        <v>457</v>
      </c>
      <c r="D339" t="s">
        <v>549</v>
      </c>
      <c r="E339" t="s">
        <v>555</v>
      </c>
      <c r="F339" t="s">
        <v>570</v>
      </c>
      <c r="G339">
        <v>3</v>
      </c>
      <c r="H339">
        <v>2334</v>
      </c>
      <c r="I339">
        <v>7002</v>
      </c>
      <c r="J339" s="7">
        <v>756.15</v>
      </c>
      <c r="K339">
        <f>Table1_1[[#This Row],[Sales]]/Table1_1[[#This Row],[Profit2]]*100</f>
        <v>926.00674469351316</v>
      </c>
    </row>
    <row r="340" spans="1:11" x14ac:dyDescent="0.25">
      <c r="A340" t="s">
        <v>348</v>
      </c>
      <c r="B340" s="4">
        <v>45479</v>
      </c>
      <c r="C340" t="s">
        <v>423</v>
      </c>
      <c r="D340" t="s">
        <v>550</v>
      </c>
      <c r="E340" t="s">
        <v>555</v>
      </c>
      <c r="F340" t="s">
        <v>559</v>
      </c>
      <c r="G340">
        <v>3</v>
      </c>
      <c r="H340">
        <v>3795</v>
      </c>
      <c r="I340">
        <v>11385</v>
      </c>
      <c r="J340" s="7">
        <v>3831.1</v>
      </c>
      <c r="K340">
        <f>Table1_1[[#This Row],[Sales]]/Table1_1[[#This Row],[Profit2]]*100</f>
        <v>297.17313565294563</v>
      </c>
    </row>
    <row r="341" spans="1:11" x14ac:dyDescent="0.25">
      <c r="A341" t="s">
        <v>349</v>
      </c>
      <c r="B341" s="4">
        <v>45483</v>
      </c>
      <c r="C341" t="s">
        <v>480</v>
      </c>
      <c r="D341" t="s">
        <v>550</v>
      </c>
      <c r="E341" t="s">
        <v>553</v>
      </c>
      <c r="F341" t="s">
        <v>571</v>
      </c>
      <c r="G341">
        <v>2</v>
      </c>
      <c r="H341">
        <v>3156</v>
      </c>
      <c r="I341">
        <v>6312</v>
      </c>
      <c r="J341" s="7">
        <v>1962.79</v>
      </c>
      <c r="K341">
        <f>Table1_1[[#This Row],[Sales]]/Table1_1[[#This Row],[Profit2]]*100</f>
        <v>321.58305269539784</v>
      </c>
    </row>
    <row r="342" spans="1:11" x14ac:dyDescent="0.25">
      <c r="A342" t="s">
        <v>350</v>
      </c>
      <c r="B342" s="4">
        <v>45561</v>
      </c>
      <c r="C342" t="s">
        <v>536</v>
      </c>
      <c r="D342" t="s">
        <v>549</v>
      </c>
      <c r="E342" t="s">
        <v>554</v>
      </c>
      <c r="F342" t="s">
        <v>574</v>
      </c>
      <c r="G342">
        <v>5</v>
      </c>
      <c r="H342">
        <v>1760</v>
      </c>
      <c r="I342">
        <v>8800</v>
      </c>
      <c r="J342" s="7">
        <v>2369.2199999999998</v>
      </c>
      <c r="K342">
        <f>Table1_1[[#This Row],[Sales]]/Table1_1[[#This Row],[Profit2]]*100</f>
        <v>371.43025974793392</v>
      </c>
    </row>
    <row r="343" spans="1:11" x14ac:dyDescent="0.25">
      <c r="A343" t="s">
        <v>351</v>
      </c>
      <c r="B343" s="4">
        <v>45321</v>
      </c>
      <c r="C343" t="s">
        <v>482</v>
      </c>
      <c r="D343" t="s">
        <v>550</v>
      </c>
      <c r="E343" t="s">
        <v>556</v>
      </c>
      <c r="F343" t="s">
        <v>561</v>
      </c>
      <c r="G343">
        <v>3</v>
      </c>
      <c r="H343">
        <v>1466</v>
      </c>
      <c r="I343">
        <v>4398</v>
      </c>
      <c r="J343" s="7">
        <v>1693.62</v>
      </c>
      <c r="K343">
        <f>Table1_1[[#This Row],[Sales]]/Table1_1[[#This Row],[Profit2]]*100</f>
        <v>259.68044779820741</v>
      </c>
    </row>
    <row r="344" spans="1:11" x14ac:dyDescent="0.25">
      <c r="A344" t="s">
        <v>352</v>
      </c>
      <c r="B344" s="4">
        <v>45652</v>
      </c>
      <c r="C344" t="s">
        <v>479</v>
      </c>
      <c r="D344" t="s">
        <v>549</v>
      </c>
      <c r="E344" t="s">
        <v>556</v>
      </c>
      <c r="F344" t="s">
        <v>561</v>
      </c>
      <c r="G344">
        <v>6</v>
      </c>
      <c r="H344">
        <v>2369</v>
      </c>
      <c r="I344">
        <v>14214</v>
      </c>
      <c r="J344" s="7">
        <v>4521.47</v>
      </c>
      <c r="K344">
        <f>Table1_1[[#This Row],[Sales]]/Table1_1[[#This Row],[Profit2]]*100</f>
        <v>314.36678779246574</v>
      </c>
    </row>
    <row r="345" spans="1:11" x14ac:dyDescent="0.25">
      <c r="A345" t="s">
        <v>353</v>
      </c>
      <c r="B345" s="4">
        <v>45303</v>
      </c>
      <c r="C345" t="s">
        <v>453</v>
      </c>
      <c r="D345" t="s">
        <v>552</v>
      </c>
      <c r="E345" t="s">
        <v>555</v>
      </c>
      <c r="F345" t="s">
        <v>570</v>
      </c>
      <c r="G345">
        <v>2</v>
      </c>
      <c r="H345">
        <v>3838</v>
      </c>
      <c r="I345">
        <v>7676</v>
      </c>
      <c r="J345" s="7">
        <v>1259.56</v>
      </c>
      <c r="K345">
        <f>Table1_1[[#This Row],[Sales]]/Table1_1[[#This Row],[Profit2]]*100</f>
        <v>609.41916224713395</v>
      </c>
    </row>
    <row r="346" spans="1:11" x14ac:dyDescent="0.25">
      <c r="A346" t="s">
        <v>354</v>
      </c>
      <c r="B346" s="4">
        <v>45356</v>
      </c>
      <c r="C346" t="s">
        <v>542</v>
      </c>
      <c r="D346" t="s">
        <v>549</v>
      </c>
      <c r="E346" t="s">
        <v>554</v>
      </c>
      <c r="F346" t="s">
        <v>572</v>
      </c>
      <c r="G346">
        <v>3</v>
      </c>
      <c r="H346">
        <v>949</v>
      </c>
      <c r="I346">
        <v>2847</v>
      </c>
      <c r="J346" s="7">
        <v>702.33</v>
      </c>
      <c r="K346">
        <f>Table1_1[[#This Row],[Sales]]/Table1_1[[#This Row],[Profit2]]*100</f>
        <v>405.36499935927554</v>
      </c>
    </row>
    <row r="347" spans="1:11" x14ac:dyDescent="0.25">
      <c r="A347" t="s">
        <v>355</v>
      </c>
      <c r="B347" s="4">
        <v>45319</v>
      </c>
      <c r="C347" t="s">
        <v>543</v>
      </c>
      <c r="D347" t="s">
        <v>549</v>
      </c>
      <c r="E347" t="s">
        <v>556</v>
      </c>
      <c r="F347" t="s">
        <v>565</v>
      </c>
      <c r="G347">
        <v>5</v>
      </c>
      <c r="H347">
        <v>3627</v>
      </c>
      <c r="I347">
        <v>18135</v>
      </c>
      <c r="J347" s="7">
        <v>2811.48</v>
      </c>
      <c r="K347">
        <f>Table1_1[[#This Row],[Sales]]/Table1_1[[#This Row],[Profit2]]*100</f>
        <v>645.0339323061163</v>
      </c>
    </row>
    <row r="348" spans="1:11" x14ac:dyDescent="0.25">
      <c r="A348" t="s">
        <v>356</v>
      </c>
      <c r="B348" s="4">
        <v>45396</v>
      </c>
      <c r="C348" t="s">
        <v>536</v>
      </c>
      <c r="D348" t="s">
        <v>549</v>
      </c>
      <c r="E348" t="s">
        <v>554</v>
      </c>
      <c r="F348" t="s">
        <v>558</v>
      </c>
      <c r="G348">
        <v>1</v>
      </c>
      <c r="H348">
        <v>4980</v>
      </c>
      <c r="I348">
        <v>4980</v>
      </c>
      <c r="J348" s="7">
        <v>586.47</v>
      </c>
      <c r="K348">
        <f>Table1_1[[#This Row],[Sales]]/Table1_1[[#This Row],[Profit2]]*100</f>
        <v>849.14829403038516</v>
      </c>
    </row>
    <row r="349" spans="1:11" x14ac:dyDescent="0.25">
      <c r="A349" t="s">
        <v>357</v>
      </c>
      <c r="B349" s="4">
        <v>45627</v>
      </c>
      <c r="C349" t="s">
        <v>500</v>
      </c>
      <c r="D349" t="s">
        <v>550</v>
      </c>
      <c r="E349" t="s">
        <v>554</v>
      </c>
      <c r="F349" t="s">
        <v>572</v>
      </c>
      <c r="G349">
        <v>1</v>
      </c>
      <c r="H349">
        <v>2127</v>
      </c>
      <c r="I349">
        <v>2127</v>
      </c>
      <c r="J349" s="7">
        <v>293.85000000000002</v>
      </c>
      <c r="K349">
        <f>Table1_1[[#This Row],[Sales]]/Table1_1[[#This Row],[Profit2]]*100</f>
        <v>723.8386932108217</v>
      </c>
    </row>
    <row r="350" spans="1:11" x14ac:dyDescent="0.25">
      <c r="A350" t="s">
        <v>358</v>
      </c>
      <c r="B350" s="4">
        <v>45446</v>
      </c>
      <c r="C350" t="s">
        <v>421</v>
      </c>
      <c r="D350" t="s">
        <v>550</v>
      </c>
      <c r="E350" t="s">
        <v>555</v>
      </c>
      <c r="F350" t="s">
        <v>570</v>
      </c>
      <c r="G350">
        <v>9</v>
      </c>
      <c r="H350">
        <v>4004</v>
      </c>
      <c r="I350">
        <v>36036</v>
      </c>
      <c r="J350" s="7">
        <v>5102.58</v>
      </c>
      <c r="K350">
        <f>Table1_1[[#This Row],[Sales]]/Table1_1[[#This Row],[Profit2]]*100</f>
        <v>706.23096551156482</v>
      </c>
    </row>
    <row r="351" spans="1:11" x14ac:dyDescent="0.25">
      <c r="A351" t="s">
        <v>359</v>
      </c>
      <c r="B351" s="4">
        <v>45580</v>
      </c>
      <c r="C351" t="s">
        <v>544</v>
      </c>
      <c r="D351" t="s">
        <v>549</v>
      </c>
      <c r="E351" t="s">
        <v>556</v>
      </c>
      <c r="F351" t="s">
        <v>563</v>
      </c>
      <c r="G351">
        <v>7</v>
      </c>
      <c r="H351">
        <v>3902</v>
      </c>
      <c r="I351">
        <v>27314</v>
      </c>
      <c r="J351" s="7">
        <v>8948.17</v>
      </c>
      <c r="K351">
        <f>Table1_1[[#This Row],[Sales]]/Table1_1[[#This Row],[Profit2]]*100</f>
        <v>305.2467711275043</v>
      </c>
    </row>
    <row r="352" spans="1:11" x14ac:dyDescent="0.25">
      <c r="A352" t="s">
        <v>360</v>
      </c>
      <c r="B352" s="4">
        <v>45417</v>
      </c>
      <c r="C352" t="s">
        <v>434</v>
      </c>
      <c r="D352" t="s">
        <v>550</v>
      </c>
      <c r="E352" t="s">
        <v>553</v>
      </c>
      <c r="F352" t="s">
        <v>562</v>
      </c>
      <c r="G352">
        <v>1</v>
      </c>
      <c r="H352">
        <v>2556</v>
      </c>
      <c r="I352">
        <v>2556</v>
      </c>
      <c r="J352" s="7">
        <v>666.28</v>
      </c>
      <c r="K352">
        <f>Table1_1[[#This Row],[Sales]]/Table1_1[[#This Row],[Profit2]]*100</f>
        <v>383.62250105060934</v>
      </c>
    </row>
    <row r="353" spans="1:11" x14ac:dyDescent="0.25">
      <c r="A353" t="s">
        <v>361</v>
      </c>
      <c r="B353" s="4">
        <v>45346</v>
      </c>
      <c r="C353" t="s">
        <v>442</v>
      </c>
      <c r="D353" t="s">
        <v>551</v>
      </c>
      <c r="E353" t="s">
        <v>555</v>
      </c>
      <c r="F353" t="s">
        <v>567</v>
      </c>
      <c r="G353">
        <v>8</v>
      </c>
      <c r="H353">
        <v>4990</v>
      </c>
      <c r="I353">
        <v>39920</v>
      </c>
      <c r="J353" s="7">
        <v>11738.17</v>
      </c>
      <c r="K353">
        <f>Table1_1[[#This Row],[Sales]]/Table1_1[[#This Row],[Profit2]]*100</f>
        <v>340.08708342101028</v>
      </c>
    </row>
    <row r="354" spans="1:11" x14ac:dyDescent="0.25">
      <c r="A354" t="s">
        <v>362</v>
      </c>
      <c r="B354" s="4">
        <v>45517</v>
      </c>
      <c r="C354" t="s">
        <v>522</v>
      </c>
      <c r="D354" t="s">
        <v>551</v>
      </c>
      <c r="E354" t="s">
        <v>556</v>
      </c>
      <c r="F354" t="s">
        <v>561</v>
      </c>
      <c r="G354">
        <v>3</v>
      </c>
      <c r="H354">
        <v>2535</v>
      </c>
      <c r="I354">
        <v>7605</v>
      </c>
      <c r="J354" s="7">
        <v>1224.4100000000001</v>
      </c>
      <c r="K354">
        <f>Table1_1[[#This Row],[Sales]]/Table1_1[[#This Row],[Profit2]]*100</f>
        <v>621.1154760251876</v>
      </c>
    </row>
    <row r="355" spans="1:11" x14ac:dyDescent="0.25">
      <c r="A355" t="s">
        <v>363</v>
      </c>
      <c r="B355" s="4">
        <v>45348</v>
      </c>
      <c r="C355" t="s">
        <v>460</v>
      </c>
      <c r="D355" t="s">
        <v>550</v>
      </c>
      <c r="E355" t="s">
        <v>556</v>
      </c>
      <c r="F355" t="s">
        <v>561</v>
      </c>
      <c r="G355">
        <v>8</v>
      </c>
      <c r="H355">
        <v>506</v>
      </c>
      <c r="I355">
        <v>4048</v>
      </c>
      <c r="J355" s="7">
        <v>1288.48</v>
      </c>
      <c r="K355">
        <f>Table1_1[[#This Row],[Sales]]/Table1_1[[#This Row],[Profit2]]*100</f>
        <v>314.16863280764932</v>
      </c>
    </row>
    <row r="356" spans="1:11" x14ac:dyDescent="0.25">
      <c r="A356" t="s">
        <v>364</v>
      </c>
      <c r="B356" s="4">
        <v>45439</v>
      </c>
      <c r="C356" t="s">
        <v>440</v>
      </c>
      <c r="D356" t="s">
        <v>550</v>
      </c>
      <c r="E356" t="s">
        <v>556</v>
      </c>
      <c r="F356" t="s">
        <v>569</v>
      </c>
      <c r="G356">
        <v>5</v>
      </c>
      <c r="H356">
        <v>3865</v>
      </c>
      <c r="I356">
        <v>19325</v>
      </c>
      <c r="J356" s="7">
        <v>5623.71</v>
      </c>
      <c r="K356">
        <f>Table1_1[[#This Row],[Sales]]/Table1_1[[#This Row],[Profit2]]*100</f>
        <v>343.63436236932557</v>
      </c>
    </row>
    <row r="357" spans="1:11" x14ac:dyDescent="0.25">
      <c r="A357" t="s">
        <v>365</v>
      </c>
      <c r="B357" s="4">
        <v>45550</v>
      </c>
      <c r="C357" t="s">
        <v>535</v>
      </c>
      <c r="D357" t="s">
        <v>549</v>
      </c>
      <c r="E357" t="s">
        <v>556</v>
      </c>
      <c r="F357" t="s">
        <v>563</v>
      </c>
      <c r="G357">
        <v>1</v>
      </c>
      <c r="H357">
        <v>2189</v>
      </c>
      <c r="I357">
        <v>2189</v>
      </c>
      <c r="J357" s="7">
        <v>424.66</v>
      </c>
      <c r="K357">
        <f>Table1_1[[#This Row],[Sales]]/Table1_1[[#This Row],[Profit2]]*100</f>
        <v>515.47120048980355</v>
      </c>
    </row>
    <row r="358" spans="1:11" x14ac:dyDescent="0.25">
      <c r="A358" t="s">
        <v>366</v>
      </c>
      <c r="B358" s="4">
        <v>45508</v>
      </c>
      <c r="C358" t="s">
        <v>545</v>
      </c>
      <c r="D358" t="s">
        <v>552</v>
      </c>
      <c r="E358" t="s">
        <v>556</v>
      </c>
      <c r="F358" t="s">
        <v>568</v>
      </c>
      <c r="G358">
        <v>7</v>
      </c>
      <c r="H358">
        <v>861</v>
      </c>
      <c r="I358">
        <v>6027</v>
      </c>
      <c r="J358" s="7">
        <v>1380.16</v>
      </c>
      <c r="K358">
        <f>Table1_1[[#This Row],[Sales]]/Table1_1[[#This Row],[Profit2]]*100</f>
        <v>436.6884998840714</v>
      </c>
    </row>
    <row r="359" spans="1:11" x14ac:dyDescent="0.25">
      <c r="A359" t="s">
        <v>367</v>
      </c>
      <c r="B359" s="4">
        <v>45302</v>
      </c>
      <c r="C359" t="s">
        <v>449</v>
      </c>
      <c r="D359" t="s">
        <v>550</v>
      </c>
      <c r="E359" t="s">
        <v>554</v>
      </c>
      <c r="F359" t="s">
        <v>564</v>
      </c>
      <c r="G359">
        <v>5</v>
      </c>
      <c r="H359">
        <v>4844</v>
      </c>
      <c r="I359">
        <v>24220</v>
      </c>
      <c r="J359" s="7">
        <v>9168.7999999999993</v>
      </c>
      <c r="K359">
        <f>Table1_1[[#This Row],[Sales]]/Table1_1[[#This Row],[Profit2]]*100</f>
        <v>264.15670534857344</v>
      </c>
    </row>
    <row r="360" spans="1:11" x14ac:dyDescent="0.25">
      <c r="A360" t="s">
        <v>368</v>
      </c>
      <c r="B360" s="4">
        <v>45589</v>
      </c>
      <c r="C360" t="s">
        <v>420</v>
      </c>
      <c r="D360" t="s">
        <v>551</v>
      </c>
      <c r="E360" t="s">
        <v>555</v>
      </c>
      <c r="F360" t="s">
        <v>559</v>
      </c>
      <c r="G360">
        <v>6</v>
      </c>
      <c r="H360">
        <v>511</v>
      </c>
      <c r="I360">
        <v>3066</v>
      </c>
      <c r="J360" s="7">
        <v>503.88</v>
      </c>
      <c r="K360">
        <f>Table1_1[[#This Row],[Sales]]/Table1_1[[#This Row],[Profit2]]*100</f>
        <v>608.47820909740415</v>
      </c>
    </row>
    <row r="361" spans="1:11" x14ac:dyDescent="0.25">
      <c r="A361" t="s">
        <v>369</v>
      </c>
      <c r="B361" s="4">
        <v>45550</v>
      </c>
      <c r="C361" t="s">
        <v>536</v>
      </c>
      <c r="D361" t="s">
        <v>549</v>
      </c>
      <c r="E361" t="s">
        <v>554</v>
      </c>
      <c r="F361" t="s">
        <v>573</v>
      </c>
      <c r="G361">
        <v>6</v>
      </c>
      <c r="H361">
        <v>3120</v>
      </c>
      <c r="I361">
        <v>18720</v>
      </c>
      <c r="J361" s="7">
        <v>2000.07</v>
      </c>
      <c r="K361">
        <f>Table1_1[[#This Row],[Sales]]/Table1_1[[#This Row],[Profit2]]*100</f>
        <v>935.9672411465599</v>
      </c>
    </row>
    <row r="362" spans="1:11" x14ac:dyDescent="0.25">
      <c r="A362" t="s">
        <v>370</v>
      </c>
      <c r="B362" s="4">
        <v>45328</v>
      </c>
      <c r="C362" t="s">
        <v>546</v>
      </c>
      <c r="D362" t="s">
        <v>550</v>
      </c>
      <c r="E362" t="s">
        <v>553</v>
      </c>
      <c r="F362" t="s">
        <v>576</v>
      </c>
      <c r="G362">
        <v>8</v>
      </c>
      <c r="H362">
        <v>1282</v>
      </c>
      <c r="I362">
        <v>10256</v>
      </c>
      <c r="J362" s="7">
        <v>1223.17</v>
      </c>
      <c r="K362">
        <f>Table1_1[[#This Row],[Sales]]/Table1_1[[#This Row],[Profit2]]*100</f>
        <v>838.47707187063122</v>
      </c>
    </row>
    <row r="363" spans="1:11" x14ac:dyDescent="0.25">
      <c r="A363" t="s">
        <v>371</v>
      </c>
      <c r="B363" s="4">
        <v>45511</v>
      </c>
      <c r="C363" t="s">
        <v>487</v>
      </c>
      <c r="D363" t="s">
        <v>551</v>
      </c>
      <c r="E363" t="s">
        <v>556</v>
      </c>
      <c r="F363" t="s">
        <v>565</v>
      </c>
      <c r="G363">
        <v>9</v>
      </c>
      <c r="H363">
        <v>3171</v>
      </c>
      <c r="I363">
        <v>28539</v>
      </c>
      <c r="J363" s="7">
        <v>6841.91</v>
      </c>
      <c r="K363">
        <f>Table1_1[[#This Row],[Sales]]/Table1_1[[#This Row],[Profit2]]*100</f>
        <v>417.12036551196962</v>
      </c>
    </row>
    <row r="364" spans="1:11" x14ac:dyDescent="0.25">
      <c r="A364" t="s">
        <v>372</v>
      </c>
      <c r="B364" s="4">
        <v>45425</v>
      </c>
      <c r="C364" t="s">
        <v>506</v>
      </c>
      <c r="D364" t="s">
        <v>551</v>
      </c>
      <c r="E364" t="s">
        <v>555</v>
      </c>
      <c r="F364" t="s">
        <v>566</v>
      </c>
      <c r="G364">
        <v>2</v>
      </c>
      <c r="H364">
        <v>954</v>
      </c>
      <c r="I364">
        <v>1908</v>
      </c>
      <c r="J364" s="7">
        <v>529.74</v>
      </c>
      <c r="K364">
        <f>Table1_1[[#This Row],[Sales]]/Table1_1[[#This Row],[Profit2]]*100</f>
        <v>360.1766904519198</v>
      </c>
    </row>
    <row r="365" spans="1:11" x14ac:dyDescent="0.25">
      <c r="A365" t="s">
        <v>373</v>
      </c>
      <c r="B365" s="4">
        <v>45496</v>
      </c>
      <c r="C365" t="s">
        <v>447</v>
      </c>
      <c r="D365" t="s">
        <v>552</v>
      </c>
      <c r="E365" t="s">
        <v>556</v>
      </c>
      <c r="F365" t="s">
        <v>565</v>
      </c>
      <c r="G365">
        <v>9</v>
      </c>
      <c r="H365">
        <v>4330</v>
      </c>
      <c r="I365">
        <v>38970</v>
      </c>
      <c r="J365" s="7">
        <v>14059.8</v>
      </c>
      <c r="K365">
        <f>Table1_1[[#This Row],[Sales]]/Table1_1[[#This Row],[Profit2]]*100</f>
        <v>277.17321725771347</v>
      </c>
    </row>
    <row r="366" spans="1:11" x14ac:dyDescent="0.25">
      <c r="A366" t="s">
        <v>374</v>
      </c>
      <c r="B366" s="4">
        <v>45624</v>
      </c>
      <c r="C366" t="s">
        <v>430</v>
      </c>
      <c r="D366" t="s">
        <v>549</v>
      </c>
      <c r="E366" t="s">
        <v>555</v>
      </c>
      <c r="F366" t="s">
        <v>575</v>
      </c>
      <c r="G366">
        <v>9</v>
      </c>
      <c r="H366">
        <v>4740</v>
      </c>
      <c r="I366">
        <v>42660</v>
      </c>
      <c r="J366" s="7">
        <v>8289.16</v>
      </c>
      <c r="K366">
        <f>Table1_1[[#This Row],[Sales]]/Table1_1[[#This Row],[Profit2]]*100</f>
        <v>514.64804636416716</v>
      </c>
    </row>
    <row r="367" spans="1:11" x14ac:dyDescent="0.25">
      <c r="A367" t="s">
        <v>375</v>
      </c>
      <c r="B367" s="4">
        <v>45353</v>
      </c>
      <c r="C367" t="s">
        <v>538</v>
      </c>
      <c r="D367" t="s">
        <v>549</v>
      </c>
      <c r="E367" t="s">
        <v>554</v>
      </c>
      <c r="F367" t="s">
        <v>573</v>
      </c>
      <c r="G367">
        <v>7</v>
      </c>
      <c r="H367">
        <v>552</v>
      </c>
      <c r="I367">
        <v>3864</v>
      </c>
      <c r="J367" s="7">
        <v>1101.74</v>
      </c>
      <c r="K367">
        <f>Table1_1[[#This Row],[Sales]]/Table1_1[[#This Row],[Profit2]]*100</f>
        <v>350.71795523444729</v>
      </c>
    </row>
    <row r="368" spans="1:11" x14ac:dyDescent="0.25">
      <c r="A368" t="s">
        <v>376</v>
      </c>
      <c r="B368" s="4">
        <v>45391</v>
      </c>
      <c r="C368" t="s">
        <v>466</v>
      </c>
      <c r="D368" t="s">
        <v>552</v>
      </c>
      <c r="E368" t="s">
        <v>555</v>
      </c>
      <c r="F368" t="s">
        <v>575</v>
      </c>
      <c r="G368">
        <v>1</v>
      </c>
      <c r="H368">
        <v>1102</v>
      </c>
      <c r="I368">
        <v>1102</v>
      </c>
      <c r="J368" s="7">
        <v>319.67</v>
      </c>
      <c r="K368">
        <f>Table1_1[[#This Row],[Sales]]/Table1_1[[#This Row],[Profit2]]*100</f>
        <v>344.73050333156061</v>
      </c>
    </row>
    <row r="369" spans="1:11" x14ac:dyDescent="0.25">
      <c r="A369" t="s">
        <v>377</v>
      </c>
      <c r="B369" s="4">
        <v>45429</v>
      </c>
      <c r="C369" t="s">
        <v>542</v>
      </c>
      <c r="D369" t="s">
        <v>552</v>
      </c>
      <c r="E369" t="s">
        <v>553</v>
      </c>
      <c r="F369" t="s">
        <v>562</v>
      </c>
      <c r="G369">
        <v>7</v>
      </c>
      <c r="H369">
        <v>4088</v>
      </c>
      <c r="I369">
        <v>28616</v>
      </c>
      <c r="J369" s="7">
        <v>5676.93</v>
      </c>
      <c r="K369">
        <f>Table1_1[[#This Row],[Sales]]/Table1_1[[#This Row],[Profit2]]*100</f>
        <v>504.07526603287334</v>
      </c>
    </row>
    <row r="370" spans="1:11" x14ac:dyDescent="0.25">
      <c r="A370" t="s">
        <v>378</v>
      </c>
      <c r="B370" s="4">
        <v>45497</v>
      </c>
      <c r="C370" t="s">
        <v>505</v>
      </c>
      <c r="D370" t="s">
        <v>549</v>
      </c>
      <c r="E370" t="s">
        <v>553</v>
      </c>
      <c r="F370" t="s">
        <v>560</v>
      </c>
      <c r="G370">
        <v>5</v>
      </c>
      <c r="H370">
        <v>358</v>
      </c>
      <c r="I370">
        <v>1790</v>
      </c>
      <c r="J370" s="7">
        <v>307.05</v>
      </c>
      <c r="K370">
        <f>Table1_1[[#This Row],[Sales]]/Table1_1[[#This Row],[Profit2]]*100</f>
        <v>582.96694349454481</v>
      </c>
    </row>
    <row r="371" spans="1:11" x14ac:dyDescent="0.25">
      <c r="A371" t="s">
        <v>379</v>
      </c>
      <c r="B371" s="4">
        <v>45390</v>
      </c>
      <c r="C371" t="s">
        <v>509</v>
      </c>
      <c r="D371" t="s">
        <v>549</v>
      </c>
      <c r="E371" t="s">
        <v>555</v>
      </c>
      <c r="F371" t="s">
        <v>559</v>
      </c>
      <c r="G371">
        <v>6</v>
      </c>
      <c r="H371">
        <v>2177</v>
      </c>
      <c r="I371">
        <v>13062</v>
      </c>
      <c r="J371" s="7">
        <v>2078.9299999999998</v>
      </c>
      <c r="K371">
        <f>Table1_1[[#This Row],[Sales]]/Table1_1[[#This Row],[Profit2]]*100</f>
        <v>628.30398329910099</v>
      </c>
    </row>
    <row r="372" spans="1:11" x14ac:dyDescent="0.25">
      <c r="A372" t="s">
        <v>380</v>
      </c>
      <c r="B372" s="4">
        <v>45435</v>
      </c>
      <c r="C372" t="s">
        <v>495</v>
      </c>
      <c r="D372" t="s">
        <v>550</v>
      </c>
      <c r="E372" t="s">
        <v>555</v>
      </c>
      <c r="F372" t="s">
        <v>570</v>
      </c>
      <c r="G372">
        <v>7</v>
      </c>
      <c r="H372">
        <v>1156</v>
      </c>
      <c r="I372">
        <v>8092</v>
      </c>
      <c r="J372" s="7">
        <v>1813.04</v>
      </c>
      <c r="K372">
        <f>Table1_1[[#This Row],[Sales]]/Table1_1[[#This Row],[Profit2]]*100</f>
        <v>446.32219917927898</v>
      </c>
    </row>
    <row r="373" spans="1:11" x14ac:dyDescent="0.25">
      <c r="A373" t="s">
        <v>381</v>
      </c>
      <c r="B373" s="4">
        <v>45424</v>
      </c>
      <c r="C373" t="s">
        <v>479</v>
      </c>
      <c r="D373" t="s">
        <v>550</v>
      </c>
      <c r="E373" t="s">
        <v>555</v>
      </c>
      <c r="F373" t="s">
        <v>575</v>
      </c>
      <c r="G373">
        <v>5</v>
      </c>
      <c r="H373">
        <v>2271</v>
      </c>
      <c r="I373">
        <v>11355</v>
      </c>
      <c r="J373" s="7">
        <v>3329.17</v>
      </c>
      <c r="K373">
        <f>Table1_1[[#This Row],[Sales]]/Table1_1[[#This Row],[Profit2]]*100</f>
        <v>341.0760039289072</v>
      </c>
    </row>
    <row r="374" spans="1:11" x14ac:dyDescent="0.25">
      <c r="A374" t="s">
        <v>382</v>
      </c>
      <c r="B374" s="4">
        <v>45440</v>
      </c>
      <c r="C374" t="s">
        <v>529</v>
      </c>
      <c r="D374" t="s">
        <v>552</v>
      </c>
      <c r="E374" t="s">
        <v>555</v>
      </c>
      <c r="F374" t="s">
        <v>559</v>
      </c>
      <c r="G374">
        <v>7</v>
      </c>
      <c r="H374">
        <v>603</v>
      </c>
      <c r="I374">
        <v>4221</v>
      </c>
      <c r="J374" s="7">
        <v>1035.96</v>
      </c>
      <c r="K374">
        <f>Table1_1[[#This Row],[Sales]]/Table1_1[[#This Row],[Profit2]]*100</f>
        <v>407.4481640217769</v>
      </c>
    </row>
    <row r="375" spans="1:11" x14ac:dyDescent="0.25">
      <c r="A375" t="s">
        <v>383</v>
      </c>
      <c r="B375" s="4">
        <v>45451</v>
      </c>
      <c r="C375" t="s">
        <v>547</v>
      </c>
      <c r="D375" t="s">
        <v>550</v>
      </c>
      <c r="E375" t="s">
        <v>553</v>
      </c>
      <c r="F375" t="s">
        <v>562</v>
      </c>
      <c r="G375">
        <v>9</v>
      </c>
      <c r="H375">
        <v>4811</v>
      </c>
      <c r="I375">
        <v>43299</v>
      </c>
      <c r="J375" s="7">
        <v>17272.830000000002</v>
      </c>
      <c r="K375">
        <f>Table1_1[[#This Row],[Sales]]/Table1_1[[#This Row],[Profit2]]*100</f>
        <v>250.67693018457308</v>
      </c>
    </row>
    <row r="376" spans="1:11" x14ac:dyDescent="0.25">
      <c r="A376" t="s">
        <v>384</v>
      </c>
      <c r="B376" s="4">
        <v>45322</v>
      </c>
      <c r="C376" t="s">
        <v>489</v>
      </c>
      <c r="D376" t="s">
        <v>551</v>
      </c>
      <c r="E376" t="s">
        <v>556</v>
      </c>
      <c r="F376" t="s">
        <v>563</v>
      </c>
      <c r="G376">
        <v>3</v>
      </c>
      <c r="H376">
        <v>2979</v>
      </c>
      <c r="I376">
        <v>8937</v>
      </c>
      <c r="J376" s="7">
        <v>1445.49</v>
      </c>
      <c r="K376">
        <f>Table1_1[[#This Row],[Sales]]/Table1_1[[#This Row],[Profit2]]*100</f>
        <v>618.26785380735942</v>
      </c>
    </row>
    <row r="377" spans="1:11" x14ac:dyDescent="0.25">
      <c r="A377" t="s">
        <v>385</v>
      </c>
      <c r="B377" s="4">
        <v>45547</v>
      </c>
      <c r="C377" t="s">
        <v>548</v>
      </c>
      <c r="D377" t="s">
        <v>550</v>
      </c>
      <c r="E377" t="s">
        <v>555</v>
      </c>
      <c r="F377" t="s">
        <v>567</v>
      </c>
      <c r="G377">
        <v>8</v>
      </c>
      <c r="H377">
        <v>1587</v>
      </c>
      <c r="I377">
        <v>12696</v>
      </c>
      <c r="J377" s="7">
        <v>4152.71</v>
      </c>
      <c r="K377">
        <f>Table1_1[[#This Row],[Sales]]/Table1_1[[#This Row],[Profit2]]*100</f>
        <v>305.72806673232662</v>
      </c>
    </row>
    <row r="378" spans="1:11" x14ac:dyDescent="0.25">
      <c r="A378" t="s">
        <v>386</v>
      </c>
      <c r="B378" s="4">
        <v>45402</v>
      </c>
      <c r="C378" t="s">
        <v>481</v>
      </c>
      <c r="D378" t="s">
        <v>550</v>
      </c>
      <c r="E378" t="s">
        <v>555</v>
      </c>
      <c r="F378" t="s">
        <v>559</v>
      </c>
      <c r="G378">
        <v>2</v>
      </c>
      <c r="H378">
        <v>3653</v>
      </c>
      <c r="I378">
        <v>7306</v>
      </c>
      <c r="J378" s="7">
        <v>2635.18</v>
      </c>
      <c r="K378">
        <f>Table1_1[[#This Row],[Sales]]/Table1_1[[#This Row],[Profit2]]*100</f>
        <v>277.24861299797362</v>
      </c>
    </row>
    <row r="379" spans="1:11" x14ac:dyDescent="0.25">
      <c r="A379" t="s">
        <v>387</v>
      </c>
      <c r="B379" s="4">
        <v>45622</v>
      </c>
      <c r="C379" t="s">
        <v>417</v>
      </c>
      <c r="D379" t="s">
        <v>551</v>
      </c>
      <c r="E379" t="s">
        <v>553</v>
      </c>
      <c r="F379" t="s">
        <v>557</v>
      </c>
      <c r="G379">
        <v>7</v>
      </c>
      <c r="H379">
        <v>1155</v>
      </c>
      <c r="I379">
        <v>8085</v>
      </c>
      <c r="J379" s="7">
        <v>2694.66</v>
      </c>
      <c r="K379">
        <f>Table1_1[[#This Row],[Sales]]/Table1_1[[#This Row],[Profit2]]*100</f>
        <v>300.03785264189179</v>
      </c>
    </row>
    <row r="380" spans="1:11" x14ac:dyDescent="0.25">
      <c r="A380" t="s">
        <v>388</v>
      </c>
      <c r="B380" s="4">
        <v>45470</v>
      </c>
      <c r="C380" t="s">
        <v>476</v>
      </c>
      <c r="D380" t="s">
        <v>552</v>
      </c>
      <c r="E380" t="s">
        <v>553</v>
      </c>
      <c r="F380" t="s">
        <v>576</v>
      </c>
      <c r="G380">
        <v>2</v>
      </c>
      <c r="H380">
        <v>1912</v>
      </c>
      <c r="I380">
        <v>3824</v>
      </c>
      <c r="J380" s="7">
        <v>712.81</v>
      </c>
      <c r="K380">
        <f>Table1_1[[#This Row],[Sales]]/Table1_1[[#This Row],[Profit2]]*100</f>
        <v>536.46834359787329</v>
      </c>
    </row>
    <row r="381" spans="1:11" x14ac:dyDescent="0.25">
      <c r="A381" t="s">
        <v>389</v>
      </c>
      <c r="B381" s="4">
        <v>45473</v>
      </c>
      <c r="C381" t="s">
        <v>523</v>
      </c>
      <c r="D381" t="s">
        <v>551</v>
      </c>
      <c r="E381" t="s">
        <v>554</v>
      </c>
      <c r="F381" t="s">
        <v>558</v>
      </c>
      <c r="G381">
        <v>4</v>
      </c>
      <c r="H381">
        <v>4903</v>
      </c>
      <c r="I381">
        <v>19612</v>
      </c>
      <c r="J381" s="7">
        <v>5967.92</v>
      </c>
      <c r="K381">
        <f>Table1_1[[#This Row],[Sales]]/Table1_1[[#This Row],[Profit2]]*100</f>
        <v>328.62370809260176</v>
      </c>
    </row>
    <row r="382" spans="1:11" x14ac:dyDescent="0.25">
      <c r="A382" t="s">
        <v>390</v>
      </c>
      <c r="B382" s="4">
        <v>45367</v>
      </c>
      <c r="C382" t="s">
        <v>465</v>
      </c>
      <c r="D382" t="s">
        <v>550</v>
      </c>
      <c r="E382" t="s">
        <v>555</v>
      </c>
      <c r="F382" t="s">
        <v>575</v>
      </c>
      <c r="G382">
        <v>7</v>
      </c>
      <c r="H382">
        <v>1473</v>
      </c>
      <c r="I382">
        <v>10311</v>
      </c>
      <c r="J382" s="7">
        <v>3990.59</v>
      </c>
      <c r="K382">
        <f>Table1_1[[#This Row],[Sales]]/Table1_1[[#This Row],[Profit2]]*100</f>
        <v>258.38284564437839</v>
      </c>
    </row>
    <row r="383" spans="1:11" x14ac:dyDescent="0.25">
      <c r="A383" t="s">
        <v>391</v>
      </c>
      <c r="B383" s="4">
        <v>45327</v>
      </c>
      <c r="C383" t="s">
        <v>420</v>
      </c>
      <c r="D383" t="s">
        <v>552</v>
      </c>
      <c r="E383" t="s">
        <v>554</v>
      </c>
      <c r="F383" t="s">
        <v>572</v>
      </c>
      <c r="G383">
        <v>3</v>
      </c>
      <c r="H383">
        <v>4011</v>
      </c>
      <c r="I383">
        <v>12033</v>
      </c>
      <c r="J383" s="7">
        <v>2694.48</v>
      </c>
      <c r="K383">
        <f>Table1_1[[#This Row],[Sales]]/Table1_1[[#This Row],[Profit2]]*100</f>
        <v>446.57967400017816</v>
      </c>
    </row>
    <row r="384" spans="1:11" x14ac:dyDescent="0.25">
      <c r="A384" t="s">
        <v>392</v>
      </c>
      <c r="B384" s="4">
        <v>45542</v>
      </c>
      <c r="C384" t="s">
        <v>513</v>
      </c>
      <c r="D384" t="s">
        <v>550</v>
      </c>
      <c r="E384" t="s">
        <v>553</v>
      </c>
      <c r="F384" t="s">
        <v>562</v>
      </c>
      <c r="G384">
        <v>2</v>
      </c>
      <c r="H384">
        <v>2825</v>
      </c>
      <c r="I384">
        <v>5650</v>
      </c>
      <c r="J384" s="7">
        <v>1627.63</v>
      </c>
      <c r="K384">
        <f>Table1_1[[#This Row],[Sales]]/Table1_1[[#This Row],[Profit2]]*100</f>
        <v>347.13049034485721</v>
      </c>
    </row>
    <row r="385" spans="1:11" x14ac:dyDescent="0.25">
      <c r="A385" t="s">
        <v>393</v>
      </c>
      <c r="B385" s="4">
        <v>45541</v>
      </c>
      <c r="C385" t="s">
        <v>492</v>
      </c>
      <c r="D385" t="s">
        <v>551</v>
      </c>
      <c r="E385" t="s">
        <v>553</v>
      </c>
      <c r="F385" t="s">
        <v>576</v>
      </c>
      <c r="G385">
        <v>7</v>
      </c>
      <c r="H385">
        <v>2582</v>
      </c>
      <c r="I385">
        <v>18074</v>
      </c>
      <c r="J385" s="7">
        <v>3145.68</v>
      </c>
      <c r="K385">
        <f>Table1_1[[#This Row],[Sales]]/Table1_1[[#This Row],[Profit2]]*100</f>
        <v>574.56575366852314</v>
      </c>
    </row>
    <row r="386" spans="1:11" x14ac:dyDescent="0.25">
      <c r="A386" t="s">
        <v>394</v>
      </c>
      <c r="B386" s="4">
        <v>45589</v>
      </c>
      <c r="C386" t="s">
        <v>413</v>
      </c>
      <c r="D386" t="s">
        <v>551</v>
      </c>
      <c r="E386" t="s">
        <v>556</v>
      </c>
      <c r="F386" t="s">
        <v>569</v>
      </c>
      <c r="G386">
        <v>1</v>
      </c>
      <c r="H386">
        <v>1641</v>
      </c>
      <c r="I386">
        <v>1641</v>
      </c>
      <c r="J386" s="7">
        <v>476.29</v>
      </c>
      <c r="K386">
        <f>Table1_1[[#This Row],[Sales]]/Table1_1[[#This Row],[Profit2]]*100</f>
        <v>344.53799155976401</v>
      </c>
    </row>
    <row r="387" spans="1:11" x14ac:dyDescent="0.25">
      <c r="A387" t="s">
        <v>395</v>
      </c>
      <c r="B387" s="4">
        <v>45516</v>
      </c>
      <c r="C387" t="s">
        <v>532</v>
      </c>
      <c r="D387" t="s">
        <v>550</v>
      </c>
      <c r="E387" t="s">
        <v>555</v>
      </c>
      <c r="F387" t="s">
        <v>566</v>
      </c>
      <c r="G387">
        <v>8</v>
      </c>
      <c r="H387">
        <v>3179</v>
      </c>
      <c r="I387">
        <v>25432</v>
      </c>
      <c r="J387" s="7">
        <v>5099.37</v>
      </c>
      <c r="K387">
        <f>Table1_1[[#This Row],[Sales]]/Table1_1[[#This Row],[Profit2]]*100</f>
        <v>498.72827427701856</v>
      </c>
    </row>
    <row r="388" spans="1:11" x14ac:dyDescent="0.25">
      <c r="A388" t="s">
        <v>396</v>
      </c>
      <c r="B388" s="4">
        <v>45311</v>
      </c>
      <c r="C388" t="s">
        <v>421</v>
      </c>
      <c r="D388" t="s">
        <v>549</v>
      </c>
      <c r="E388" t="s">
        <v>554</v>
      </c>
      <c r="F388" t="s">
        <v>573</v>
      </c>
      <c r="G388">
        <v>3</v>
      </c>
      <c r="H388">
        <v>1997</v>
      </c>
      <c r="I388">
        <v>5991</v>
      </c>
      <c r="J388" s="7">
        <v>1673.79</v>
      </c>
      <c r="K388">
        <f>Table1_1[[#This Row],[Sales]]/Table1_1[[#This Row],[Profit2]]*100</f>
        <v>357.93020629828118</v>
      </c>
    </row>
    <row r="389" spans="1:11" x14ac:dyDescent="0.25">
      <c r="A389" t="s">
        <v>397</v>
      </c>
      <c r="B389" s="4">
        <v>45425</v>
      </c>
      <c r="C389" t="s">
        <v>457</v>
      </c>
      <c r="D389" t="s">
        <v>549</v>
      </c>
      <c r="E389" t="s">
        <v>553</v>
      </c>
      <c r="F389" t="s">
        <v>557</v>
      </c>
      <c r="G389">
        <v>2</v>
      </c>
      <c r="H389">
        <v>4590</v>
      </c>
      <c r="I389">
        <v>9180</v>
      </c>
      <c r="J389" s="7">
        <v>2875.84</v>
      </c>
      <c r="K389">
        <f>Table1_1[[#This Row],[Sales]]/Table1_1[[#This Row],[Profit2]]*100</f>
        <v>319.21108267497493</v>
      </c>
    </row>
    <row r="390" spans="1:11" x14ac:dyDescent="0.25">
      <c r="A390" t="s">
        <v>398</v>
      </c>
      <c r="B390" s="4">
        <v>45522</v>
      </c>
      <c r="C390" t="s">
        <v>439</v>
      </c>
      <c r="D390" t="s">
        <v>551</v>
      </c>
      <c r="E390" t="s">
        <v>553</v>
      </c>
      <c r="F390" t="s">
        <v>571</v>
      </c>
      <c r="G390">
        <v>3</v>
      </c>
      <c r="H390">
        <v>4209</v>
      </c>
      <c r="I390">
        <v>12627</v>
      </c>
      <c r="J390" s="7">
        <v>3914.13</v>
      </c>
      <c r="K390">
        <f>Table1_1[[#This Row],[Sales]]/Table1_1[[#This Row],[Profit2]]*100</f>
        <v>322.60042461543179</v>
      </c>
    </row>
    <row r="391" spans="1:11" x14ac:dyDescent="0.25">
      <c r="A391" t="s">
        <v>399</v>
      </c>
      <c r="B391" s="4">
        <v>45467</v>
      </c>
      <c r="C391" t="s">
        <v>448</v>
      </c>
      <c r="D391" t="s">
        <v>551</v>
      </c>
      <c r="E391" t="s">
        <v>554</v>
      </c>
      <c r="F391" t="s">
        <v>574</v>
      </c>
      <c r="G391">
        <v>5</v>
      </c>
      <c r="H391">
        <v>1594</v>
      </c>
      <c r="I391">
        <v>7970</v>
      </c>
      <c r="J391" s="7">
        <v>2134.8000000000002</v>
      </c>
      <c r="K391">
        <f>Table1_1[[#This Row],[Sales]]/Table1_1[[#This Row],[Profit2]]*100</f>
        <v>373.33708075697956</v>
      </c>
    </row>
    <row r="392" spans="1:11" x14ac:dyDescent="0.25">
      <c r="A392" t="s">
        <v>400</v>
      </c>
      <c r="B392" s="4">
        <v>45306</v>
      </c>
      <c r="C392" t="s">
        <v>498</v>
      </c>
      <c r="D392" t="s">
        <v>549</v>
      </c>
      <c r="E392" t="s">
        <v>556</v>
      </c>
      <c r="F392" t="s">
        <v>569</v>
      </c>
      <c r="G392">
        <v>8</v>
      </c>
      <c r="H392">
        <v>4481</v>
      </c>
      <c r="I392">
        <v>35848</v>
      </c>
      <c r="J392" s="7">
        <v>4311.6400000000003</v>
      </c>
      <c r="K392">
        <f>Table1_1[[#This Row],[Sales]]/Table1_1[[#This Row],[Profit2]]*100</f>
        <v>831.42377378445326</v>
      </c>
    </row>
    <row r="393" spans="1:11" x14ac:dyDescent="0.25">
      <c r="A393" t="s">
        <v>401</v>
      </c>
      <c r="B393" s="4">
        <v>45297</v>
      </c>
      <c r="C393" t="s">
        <v>471</v>
      </c>
      <c r="D393" t="s">
        <v>549</v>
      </c>
      <c r="E393" t="s">
        <v>553</v>
      </c>
      <c r="F393" t="s">
        <v>571</v>
      </c>
      <c r="G393">
        <v>7</v>
      </c>
      <c r="H393">
        <v>1469</v>
      </c>
      <c r="I393">
        <v>10283</v>
      </c>
      <c r="J393" s="7">
        <v>1361.25</v>
      </c>
      <c r="K393">
        <f>Table1_1[[#This Row],[Sales]]/Table1_1[[#This Row],[Profit2]]*100</f>
        <v>755.40863177226822</v>
      </c>
    </row>
    <row r="394" spans="1:11" x14ac:dyDescent="0.25">
      <c r="A394" t="s">
        <v>402</v>
      </c>
      <c r="B394" s="4">
        <v>45410</v>
      </c>
      <c r="C394" t="s">
        <v>492</v>
      </c>
      <c r="D394" t="s">
        <v>550</v>
      </c>
      <c r="E394" t="s">
        <v>555</v>
      </c>
      <c r="F394" t="s">
        <v>559</v>
      </c>
      <c r="G394">
        <v>7</v>
      </c>
      <c r="H394">
        <v>4932</v>
      </c>
      <c r="I394">
        <v>34524</v>
      </c>
      <c r="J394" s="7">
        <v>10880.67</v>
      </c>
      <c r="K394">
        <f>Table1_1[[#This Row],[Sales]]/Table1_1[[#This Row],[Profit2]]*100</f>
        <v>317.29663706371019</v>
      </c>
    </row>
    <row r="395" spans="1:11" x14ac:dyDescent="0.25">
      <c r="A395" t="s">
        <v>403</v>
      </c>
      <c r="B395" s="4">
        <v>45388</v>
      </c>
      <c r="C395" t="s">
        <v>545</v>
      </c>
      <c r="D395" t="s">
        <v>550</v>
      </c>
      <c r="E395" t="s">
        <v>553</v>
      </c>
      <c r="F395" t="s">
        <v>571</v>
      </c>
      <c r="G395">
        <v>7</v>
      </c>
      <c r="H395">
        <v>3914</v>
      </c>
      <c r="I395">
        <v>27398</v>
      </c>
      <c r="J395" s="7">
        <v>3737.89</v>
      </c>
      <c r="K395">
        <f>Table1_1[[#This Row],[Sales]]/Table1_1[[#This Row],[Profit2]]*100</f>
        <v>732.98037127898363</v>
      </c>
    </row>
    <row r="396" spans="1:11" x14ac:dyDescent="0.25">
      <c r="A396" t="s">
        <v>404</v>
      </c>
      <c r="B396" s="4">
        <v>45612</v>
      </c>
      <c r="C396" t="s">
        <v>418</v>
      </c>
      <c r="D396" t="s">
        <v>549</v>
      </c>
      <c r="E396" t="s">
        <v>555</v>
      </c>
      <c r="F396" t="s">
        <v>570</v>
      </c>
      <c r="G396">
        <v>8</v>
      </c>
      <c r="H396">
        <v>729</v>
      </c>
      <c r="I396">
        <v>5832</v>
      </c>
      <c r="J396" s="7">
        <v>1762.57</v>
      </c>
      <c r="K396">
        <f>Table1_1[[#This Row],[Sales]]/Table1_1[[#This Row],[Profit2]]*100</f>
        <v>330.88047566905146</v>
      </c>
    </row>
    <row r="397" spans="1:11" x14ac:dyDescent="0.25">
      <c r="A397" t="s">
        <v>405</v>
      </c>
      <c r="B397" s="4">
        <v>45593</v>
      </c>
      <c r="C397" t="s">
        <v>484</v>
      </c>
      <c r="D397" t="s">
        <v>550</v>
      </c>
      <c r="E397" t="s">
        <v>554</v>
      </c>
      <c r="F397" t="s">
        <v>574</v>
      </c>
      <c r="G397">
        <v>1</v>
      </c>
      <c r="H397">
        <v>3823</v>
      </c>
      <c r="I397">
        <v>3823</v>
      </c>
      <c r="J397" s="7">
        <v>1500</v>
      </c>
      <c r="K397">
        <f>Table1_1[[#This Row],[Sales]]/Table1_1[[#This Row],[Profit2]]*100</f>
        <v>254.86666666666667</v>
      </c>
    </row>
    <row r="398" spans="1:11" x14ac:dyDescent="0.25">
      <c r="A398" t="s">
        <v>406</v>
      </c>
      <c r="B398" s="4">
        <v>45427</v>
      </c>
      <c r="C398" t="s">
        <v>442</v>
      </c>
      <c r="D398" t="s">
        <v>550</v>
      </c>
      <c r="E398" t="s">
        <v>555</v>
      </c>
      <c r="F398" t="s">
        <v>559</v>
      </c>
      <c r="G398">
        <v>4</v>
      </c>
      <c r="H398">
        <v>3158</v>
      </c>
      <c r="I398">
        <v>12632</v>
      </c>
      <c r="J398" s="7">
        <v>4092.84</v>
      </c>
      <c r="K398">
        <f>Table1_1[[#This Row],[Sales]]/Table1_1[[#This Row],[Profit2]]*100</f>
        <v>308.63654577261752</v>
      </c>
    </row>
    <row r="399" spans="1:11" x14ac:dyDescent="0.25">
      <c r="A399" t="s">
        <v>407</v>
      </c>
      <c r="B399" s="4">
        <v>45416</v>
      </c>
      <c r="C399" t="s">
        <v>531</v>
      </c>
      <c r="D399" t="s">
        <v>552</v>
      </c>
      <c r="E399" t="s">
        <v>554</v>
      </c>
      <c r="F399" t="s">
        <v>558</v>
      </c>
      <c r="G399">
        <v>6</v>
      </c>
      <c r="H399">
        <v>3114</v>
      </c>
      <c r="I399">
        <v>18684</v>
      </c>
      <c r="J399" s="7">
        <v>6917.49</v>
      </c>
      <c r="K399">
        <f>Table1_1[[#This Row],[Sales]]/Table1_1[[#This Row],[Profit2]]*100</f>
        <v>270.09796906103225</v>
      </c>
    </row>
    <row r="400" spans="1:11" x14ac:dyDescent="0.25">
      <c r="A400" t="s">
        <v>408</v>
      </c>
      <c r="B400" s="4">
        <v>45333</v>
      </c>
      <c r="C400" t="s">
        <v>478</v>
      </c>
      <c r="D400" t="s">
        <v>550</v>
      </c>
      <c r="E400" t="s">
        <v>555</v>
      </c>
      <c r="F400" t="s">
        <v>570</v>
      </c>
      <c r="G400">
        <v>9</v>
      </c>
      <c r="H400">
        <v>3791</v>
      </c>
      <c r="I400">
        <v>34119</v>
      </c>
      <c r="J400" s="7">
        <v>5751.42</v>
      </c>
      <c r="K400">
        <f>Table1_1[[#This Row],[Sales]]/Table1_1[[#This Row],[Profit2]]*100</f>
        <v>593.22741166529306</v>
      </c>
    </row>
    <row r="401" spans="1:11" x14ac:dyDescent="0.25">
      <c r="A401" t="s">
        <v>409</v>
      </c>
      <c r="B401" s="4">
        <v>45365</v>
      </c>
      <c r="C401" t="s">
        <v>469</v>
      </c>
      <c r="D401" t="s">
        <v>551</v>
      </c>
      <c r="E401" t="s">
        <v>554</v>
      </c>
      <c r="F401" t="s">
        <v>558</v>
      </c>
      <c r="G401">
        <v>2</v>
      </c>
      <c r="H401">
        <v>2347</v>
      </c>
      <c r="I401">
        <v>4694</v>
      </c>
      <c r="J401" s="7">
        <v>1761.68</v>
      </c>
      <c r="K401">
        <f>Table1_1[[#This Row],[Sales]]/Table1_1[[#This Row],[Profit2]]*100</f>
        <v>266.45020662095271</v>
      </c>
    </row>
  </sheetData>
  <pageMargins left="0.7" right="0.7" top="0.75" bottom="0.75" header="0.3" footer="0.3"/>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DB1EB-AC62-45E3-8139-C550E07A101A}">
  <dimension ref="A3:B8"/>
  <sheetViews>
    <sheetView workbookViewId="0">
      <selection activeCell="B8" sqref="B8"/>
    </sheetView>
  </sheetViews>
  <sheetFormatPr defaultRowHeight="15" x14ac:dyDescent="0.25"/>
  <cols>
    <col min="1" max="1" width="13.140625" bestFit="1" customWidth="1"/>
    <col min="2" max="2" width="12.140625" bestFit="1" customWidth="1"/>
  </cols>
  <sheetData>
    <row r="3" spans="1:2" x14ac:dyDescent="0.25">
      <c r="A3" s="5" t="s">
        <v>579</v>
      </c>
      <c r="B3" t="s">
        <v>581</v>
      </c>
    </row>
    <row r="4" spans="1:2" x14ac:dyDescent="0.25">
      <c r="A4" s="6" t="s">
        <v>549</v>
      </c>
      <c r="B4">
        <v>1154477</v>
      </c>
    </row>
    <row r="5" spans="1:2" x14ac:dyDescent="0.25">
      <c r="A5" s="6" t="s">
        <v>551</v>
      </c>
      <c r="B5">
        <v>1072163</v>
      </c>
    </row>
    <row r="6" spans="1:2" x14ac:dyDescent="0.25">
      <c r="A6" s="6" t="s">
        <v>552</v>
      </c>
      <c r="B6">
        <v>1103292</v>
      </c>
    </row>
    <row r="7" spans="1:2" x14ac:dyDescent="0.25">
      <c r="A7" s="6" t="s">
        <v>550</v>
      </c>
      <c r="B7">
        <v>1662751</v>
      </c>
    </row>
    <row r="8" spans="1:2" x14ac:dyDescent="0.25">
      <c r="A8" s="6" t="s">
        <v>580</v>
      </c>
      <c r="B8">
        <v>4992683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44BEE-7292-40C3-B115-6D26B7E01EEA}">
  <dimension ref="A3:B9"/>
  <sheetViews>
    <sheetView workbookViewId="0">
      <selection activeCell="A3" sqref="A3"/>
    </sheetView>
  </sheetViews>
  <sheetFormatPr defaultRowHeight="15" x14ac:dyDescent="0.25"/>
  <cols>
    <col min="1" max="1" width="13.140625" bestFit="1" customWidth="1"/>
    <col min="2" max="2" width="12.140625" bestFit="1" customWidth="1"/>
  </cols>
  <sheetData>
    <row r="3" spans="1:2" x14ac:dyDescent="0.25">
      <c r="A3" s="5" t="s">
        <v>579</v>
      </c>
      <c r="B3" t="s">
        <v>581</v>
      </c>
    </row>
    <row r="4" spans="1:2" x14ac:dyDescent="0.25">
      <c r="A4" s="6" t="s">
        <v>563</v>
      </c>
      <c r="B4">
        <v>305879</v>
      </c>
    </row>
    <row r="5" spans="1:2" x14ac:dyDescent="0.25">
      <c r="A5" s="6" t="s">
        <v>565</v>
      </c>
      <c r="B5">
        <v>318251</v>
      </c>
    </row>
    <row r="6" spans="1:2" x14ac:dyDescent="0.25">
      <c r="A6" s="6" t="s">
        <v>571</v>
      </c>
      <c r="B6">
        <v>324714</v>
      </c>
    </row>
    <row r="7" spans="1:2" x14ac:dyDescent="0.25">
      <c r="A7" s="6" t="s">
        <v>570</v>
      </c>
      <c r="B7">
        <v>315340</v>
      </c>
    </row>
    <row r="8" spans="1:2" x14ac:dyDescent="0.25">
      <c r="A8" s="6" t="s">
        <v>559</v>
      </c>
      <c r="B8">
        <v>358373</v>
      </c>
    </row>
    <row r="9" spans="1:2" x14ac:dyDescent="0.25">
      <c r="A9" s="6" t="s">
        <v>580</v>
      </c>
      <c r="B9">
        <v>1622557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01"/>
  <sheetViews>
    <sheetView topLeftCell="B1" workbookViewId="0">
      <selection activeCell="L2" sqref="L2"/>
    </sheetView>
  </sheetViews>
  <sheetFormatPr defaultRowHeight="15" x14ac:dyDescent="0.25"/>
  <cols>
    <col min="1" max="1" width="11.140625" customWidth="1"/>
    <col min="2" max="2" width="18.28515625" style="1" bestFit="1" customWidth="1"/>
    <col min="3" max="3" width="14.5703125" customWidth="1"/>
    <col min="4" max="4" width="9.28515625" customWidth="1"/>
    <col min="5" max="5" width="18.85546875" customWidth="1"/>
    <col min="6" max="6" width="16.28515625" customWidth="1"/>
    <col min="7" max="7" width="10.85546875" customWidth="1"/>
    <col min="8" max="8" width="12.42578125" customWidth="1"/>
    <col min="9" max="9" width="7.7109375" customWidth="1"/>
    <col min="10" max="10" width="9" bestFit="1" customWidth="1"/>
  </cols>
  <sheetData>
    <row r="1" spans="1:12" x14ac:dyDescent="0.25">
      <c r="A1" s="2" t="s">
        <v>0</v>
      </c>
      <c r="B1" s="3" t="s">
        <v>1</v>
      </c>
      <c r="C1" s="2" t="s">
        <v>2</v>
      </c>
      <c r="D1" s="2" t="s">
        <v>3</v>
      </c>
      <c r="E1" s="2" t="s">
        <v>4</v>
      </c>
      <c r="F1" s="2" t="s">
        <v>5</v>
      </c>
      <c r="G1" s="2" t="s">
        <v>6</v>
      </c>
      <c r="H1" s="2" t="s">
        <v>7</v>
      </c>
      <c r="I1" s="2" t="s">
        <v>8</v>
      </c>
      <c r="J1" s="2" t="s">
        <v>9</v>
      </c>
      <c r="K1" s="2" t="s">
        <v>578</v>
      </c>
      <c r="L1" s="2" t="s">
        <v>595</v>
      </c>
    </row>
    <row r="2" spans="1:12" x14ac:dyDescent="0.25">
      <c r="A2" t="s">
        <v>10</v>
      </c>
      <c r="B2" s="1">
        <v>45466</v>
      </c>
      <c r="C2" t="s">
        <v>410</v>
      </c>
      <c r="D2" t="s">
        <v>549</v>
      </c>
      <c r="E2" t="s">
        <v>553</v>
      </c>
      <c r="F2" t="s">
        <v>557</v>
      </c>
      <c r="G2">
        <v>1</v>
      </c>
      <c r="H2">
        <v>4311</v>
      </c>
      <c r="I2">
        <v>4311</v>
      </c>
      <c r="J2">
        <f>IF(ISBLANK(I2),$J$2:$J$401,I2)</f>
        <v>4311</v>
      </c>
      <c r="K2" t="str">
        <f>IF(Table1[[#This Row],[Quantity]]*Table1[[#This Row],[Unit_Price]]=Table1[[#This Row],[Sales]],"Match","Mismatch")</f>
        <v>Match</v>
      </c>
      <c r="L2">
        <f>Table1[[#This Row],[Profit]]/Table1[[#This Row],[Sales]]*100</f>
        <v>100</v>
      </c>
    </row>
    <row r="3" spans="1:12" x14ac:dyDescent="0.25">
      <c r="A3" t="s">
        <v>11</v>
      </c>
      <c r="B3" s="1">
        <v>45395</v>
      </c>
      <c r="C3" t="s">
        <v>411</v>
      </c>
      <c r="D3" t="s">
        <v>550</v>
      </c>
      <c r="E3" t="s">
        <v>553</v>
      </c>
      <c r="F3" t="s">
        <v>557</v>
      </c>
      <c r="G3">
        <v>9</v>
      </c>
      <c r="H3">
        <v>692</v>
      </c>
      <c r="I3">
        <v>6228</v>
      </c>
      <c r="J3">
        <f t="shared" ref="J3:J66" si="0">IF(ISBLANK(I3),$J$2:$J$401,I3)</f>
        <v>6228</v>
      </c>
      <c r="K3" t="str">
        <f>IF(Table1[[#This Row],[Quantity]]*Table1[[#This Row],[Unit_Price]]=Table1[[#This Row],[Sales]],"Match","Mismatch")</f>
        <v>Match</v>
      </c>
      <c r="L3">
        <f>Table1[[#This Row],[Profit]]/Table1[[#This Row],[Sales]]*100</f>
        <v>100</v>
      </c>
    </row>
    <row r="4" spans="1:12" x14ac:dyDescent="0.25">
      <c r="A4" t="s">
        <v>12</v>
      </c>
      <c r="B4" s="1">
        <v>45588</v>
      </c>
      <c r="C4" t="s">
        <v>412</v>
      </c>
      <c r="D4" t="s">
        <v>551</v>
      </c>
      <c r="E4" t="s">
        <v>554</v>
      </c>
      <c r="F4" t="s">
        <v>558</v>
      </c>
      <c r="G4">
        <v>8</v>
      </c>
      <c r="H4">
        <v>1331</v>
      </c>
      <c r="I4">
        <v>10648</v>
      </c>
      <c r="J4">
        <f t="shared" si="0"/>
        <v>10648</v>
      </c>
      <c r="K4" t="str">
        <f>IF(Table1[[#This Row],[Quantity]]*Table1[[#This Row],[Unit_Price]]=Table1[[#This Row],[Sales]],"Match","Mismatch")</f>
        <v>Match</v>
      </c>
      <c r="L4">
        <f>Table1[[#This Row],[Profit]]/Table1[[#This Row],[Sales]]*100</f>
        <v>100</v>
      </c>
    </row>
    <row r="5" spans="1:12" x14ac:dyDescent="0.25">
      <c r="A5" t="s">
        <v>13</v>
      </c>
      <c r="B5" s="1">
        <v>45421</v>
      </c>
      <c r="C5" t="s">
        <v>413</v>
      </c>
      <c r="D5" t="s">
        <v>549</v>
      </c>
      <c r="E5" t="s">
        <v>555</v>
      </c>
      <c r="F5" t="s">
        <v>559</v>
      </c>
      <c r="G5">
        <v>6</v>
      </c>
      <c r="H5">
        <v>3721</v>
      </c>
      <c r="I5">
        <v>22326</v>
      </c>
      <c r="J5">
        <f t="shared" si="0"/>
        <v>22326</v>
      </c>
      <c r="K5" t="str">
        <f>IF(Table1[[#This Row],[Quantity]]*Table1[[#This Row],[Unit_Price]]=Table1[[#This Row],[Sales]],"Match","Mismatch")</f>
        <v>Match</v>
      </c>
      <c r="L5">
        <f>Table1[[#This Row],[Profit]]/Table1[[#This Row],[Sales]]*100</f>
        <v>100</v>
      </c>
    </row>
    <row r="6" spans="1:12" x14ac:dyDescent="0.25">
      <c r="A6" t="s">
        <v>14</v>
      </c>
      <c r="B6" s="1">
        <v>45632</v>
      </c>
      <c r="C6" t="s">
        <v>414</v>
      </c>
      <c r="D6" t="s">
        <v>549</v>
      </c>
      <c r="E6" t="s">
        <v>553</v>
      </c>
      <c r="F6" t="s">
        <v>557</v>
      </c>
      <c r="G6">
        <v>7</v>
      </c>
      <c r="H6">
        <v>510</v>
      </c>
      <c r="I6">
        <v>3570</v>
      </c>
      <c r="J6">
        <f t="shared" si="0"/>
        <v>3570</v>
      </c>
      <c r="K6" t="str">
        <f>IF(Table1[[#This Row],[Quantity]]*Table1[[#This Row],[Unit_Price]]=Table1[[#This Row],[Sales]],"Match","Mismatch")</f>
        <v>Match</v>
      </c>
      <c r="L6">
        <f>Table1[[#This Row],[Profit]]/Table1[[#This Row],[Sales]]*100</f>
        <v>100</v>
      </c>
    </row>
    <row r="7" spans="1:12" x14ac:dyDescent="0.25">
      <c r="A7" t="s">
        <v>15</v>
      </c>
      <c r="B7" s="1">
        <v>45406</v>
      </c>
      <c r="C7" t="s">
        <v>415</v>
      </c>
      <c r="D7" t="s">
        <v>550</v>
      </c>
      <c r="E7" t="s">
        <v>553</v>
      </c>
      <c r="F7" t="s">
        <v>560</v>
      </c>
      <c r="G7">
        <v>3</v>
      </c>
      <c r="H7">
        <v>938</v>
      </c>
      <c r="I7">
        <v>2814</v>
      </c>
      <c r="J7">
        <f t="shared" si="0"/>
        <v>2814</v>
      </c>
      <c r="K7" t="str">
        <f>IF(Table1[[#This Row],[Quantity]]*Table1[[#This Row],[Unit_Price]]=Table1[[#This Row],[Sales]],"Match","Mismatch")</f>
        <v>Match</v>
      </c>
      <c r="L7">
        <f>Table1[[#This Row],[Profit]]/Table1[[#This Row],[Sales]]*100</f>
        <v>100</v>
      </c>
    </row>
    <row r="8" spans="1:12" x14ac:dyDescent="0.25">
      <c r="A8" t="s">
        <v>16</v>
      </c>
      <c r="B8" s="1">
        <v>45377</v>
      </c>
      <c r="C8" t="s">
        <v>416</v>
      </c>
      <c r="D8" t="s">
        <v>551</v>
      </c>
      <c r="E8" t="s">
        <v>556</v>
      </c>
      <c r="F8" t="s">
        <v>561</v>
      </c>
      <c r="G8">
        <v>1</v>
      </c>
      <c r="H8">
        <v>3441</v>
      </c>
      <c r="I8">
        <v>3441</v>
      </c>
      <c r="J8">
        <f t="shared" si="0"/>
        <v>3441</v>
      </c>
      <c r="K8" t="str">
        <f>IF(Table1[[#This Row],[Quantity]]*Table1[[#This Row],[Unit_Price]]=Table1[[#This Row],[Sales]],"Match","Mismatch")</f>
        <v>Match</v>
      </c>
      <c r="L8">
        <f>Table1[[#This Row],[Profit]]/Table1[[#This Row],[Sales]]*100</f>
        <v>100</v>
      </c>
    </row>
    <row r="9" spans="1:12" x14ac:dyDescent="0.25">
      <c r="A9" t="s">
        <v>17</v>
      </c>
      <c r="B9" s="1">
        <v>45484</v>
      </c>
      <c r="C9" t="s">
        <v>417</v>
      </c>
      <c r="D9" t="s">
        <v>551</v>
      </c>
      <c r="E9" t="s">
        <v>553</v>
      </c>
      <c r="F9" t="s">
        <v>562</v>
      </c>
      <c r="G9">
        <v>5</v>
      </c>
      <c r="H9">
        <v>745</v>
      </c>
      <c r="I9">
        <v>3725</v>
      </c>
      <c r="J9">
        <f t="shared" si="0"/>
        <v>3725</v>
      </c>
      <c r="K9" t="str">
        <f>IF(Table1[[#This Row],[Quantity]]*Table1[[#This Row],[Unit_Price]]=Table1[[#This Row],[Sales]],"Match","Mismatch")</f>
        <v>Match</v>
      </c>
      <c r="L9">
        <f>Table1[[#This Row],[Profit]]/Table1[[#This Row],[Sales]]*100</f>
        <v>100</v>
      </c>
    </row>
    <row r="10" spans="1:12" x14ac:dyDescent="0.25">
      <c r="A10" t="s">
        <v>18</v>
      </c>
      <c r="B10" s="1">
        <v>45298</v>
      </c>
      <c r="C10" t="s">
        <v>418</v>
      </c>
      <c r="D10" t="s">
        <v>549</v>
      </c>
      <c r="E10" t="s">
        <v>553</v>
      </c>
      <c r="F10" t="s">
        <v>557</v>
      </c>
      <c r="G10">
        <v>2</v>
      </c>
      <c r="H10">
        <v>2661</v>
      </c>
      <c r="I10">
        <v>5322</v>
      </c>
      <c r="J10">
        <f t="shared" si="0"/>
        <v>5322</v>
      </c>
      <c r="K10" t="str">
        <f>IF(Table1[[#This Row],[Quantity]]*Table1[[#This Row],[Unit_Price]]=Table1[[#This Row],[Sales]],"Match","Mismatch")</f>
        <v>Match</v>
      </c>
      <c r="L10">
        <f>Table1[[#This Row],[Profit]]/Table1[[#This Row],[Sales]]*100</f>
        <v>100</v>
      </c>
    </row>
    <row r="11" spans="1:12" x14ac:dyDescent="0.25">
      <c r="A11" t="s">
        <v>19</v>
      </c>
      <c r="B11" s="1">
        <v>45540</v>
      </c>
      <c r="C11" t="s">
        <v>419</v>
      </c>
      <c r="D11" t="s">
        <v>552</v>
      </c>
      <c r="E11" t="s">
        <v>556</v>
      </c>
      <c r="F11" t="s">
        <v>563</v>
      </c>
      <c r="G11">
        <v>5</v>
      </c>
      <c r="H11">
        <v>4546</v>
      </c>
      <c r="I11">
        <v>22730</v>
      </c>
      <c r="J11">
        <f t="shared" si="0"/>
        <v>22730</v>
      </c>
      <c r="K11" t="str">
        <f>IF(Table1[[#This Row],[Quantity]]*Table1[[#This Row],[Unit_Price]]=Table1[[#This Row],[Sales]],"Match","Mismatch")</f>
        <v>Match</v>
      </c>
      <c r="L11">
        <f>Table1[[#This Row],[Profit]]/Table1[[#This Row],[Sales]]*100</f>
        <v>100</v>
      </c>
    </row>
    <row r="12" spans="1:12" x14ac:dyDescent="0.25">
      <c r="A12" t="s">
        <v>20</v>
      </c>
      <c r="B12" s="1">
        <v>45646</v>
      </c>
      <c r="C12" t="s">
        <v>420</v>
      </c>
      <c r="D12" t="s">
        <v>549</v>
      </c>
      <c r="E12" t="s">
        <v>554</v>
      </c>
      <c r="F12" t="s">
        <v>564</v>
      </c>
      <c r="G12">
        <v>8</v>
      </c>
      <c r="H12">
        <v>2004</v>
      </c>
      <c r="I12">
        <v>16032</v>
      </c>
      <c r="J12">
        <f t="shared" si="0"/>
        <v>16032</v>
      </c>
      <c r="K12" t="str">
        <f>IF(Table1[[#This Row],[Quantity]]*Table1[[#This Row],[Unit_Price]]=Table1[[#This Row],[Sales]],"Match","Mismatch")</f>
        <v>Match</v>
      </c>
      <c r="L12">
        <f>Table1[[#This Row],[Profit]]/Table1[[#This Row],[Sales]]*100</f>
        <v>100</v>
      </c>
    </row>
    <row r="13" spans="1:12" x14ac:dyDescent="0.25">
      <c r="A13" t="s">
        <v>21</v>
      </c>
      <c r="B13" s="1">
        <v>45522</v>
      </c>
      <c r="C13" t="s">
        <v>421</v>
      </c>
      <c r="D13" t="s">
        <v>549</v>
      </c>
      <c r="E13" t="s">
        <v>553</v>
      </c>
      <c r="F13" t="s">
        <v>560</v>
      </c>
      <c r="G13">
        <v>9</v>
      </c>
      <c r="H13">
        <v>3412</v>
      </c>
      <c r="I13">
        <v>30708</v>
      </c>
      <c r="J13">
        <f t="shared" si="0"/>
        <v>30708</v>
      </c>
      <c r="K13" t="str">
        <f>IF(Table1[[#This Row],[Quantity]]*Table1[[#This Row],[Unit_Price]]=Table1[[#This Row],[Sales]],"Match","Mismatch")</f>
        <v>Match</v>
      </c>
      <c r="L13">
        <f>Table1[[#This Row],[Profit]]/Table1[[#This Row],[Sales]]*100</f>
        <v>100</v>
      </c>
    </row>
    <row r="14" spans="1:12" x14ac:dyDescent="0.25">
      <c r="A14" t="s">
        <v>22</v>
      </c>
      <c r="B14" s="1">
        <v>45440</v>
      </c>
      <c r="C14" t="s">
        <v>422</v>
      </c>
      <c r="D14" t="s">
        <v>549</v>
      </c>
      <c r="E14" t="s">
        <v>556</v>
      </c>
      <c r="F14" t="s">
        <v>565</v>
      </c>
      <c r="G14">
        <v>2</v>
      </c>
      <c r="H14">
        <v>4010</v>
      </c>
      <c r="I14">
        <v>8020</v>
      </c>
      <c r="J14">
        <f t="shared" si="0"/>
        <v>8020</v>
      </c>
      <c r="K14" t="str">
        <f>IF(Table1[[#This Row],[Quantity]]*Table1[[#This Row],[Unit_Price]]=Table1[[#This Row],[Sales]],"Match","Mismatch")</f>
        <v>Match</v>
      </c>
      <c r="L14">
        <f>Table1[[#This Row],[Profit]]/Table1[[#This Row],[Sales]]*100</f>
        <v>100</v>
      </c>
    </row>
    <row r="15" spans="1:12" x14ac:dyDescent="0.25">
      <c r="A15" t="s">
        <v>23</v>
      </c>
      <c r="B15" s="1">
        <v>45636</v>
      </c>
      <c r="C15" t="s">
        <v>423</v>
      </c>
      <c r="D15" t="s">
        <v>549</v>
      </c>
      <c r="E15" t="s">
        <v>555</v>
      </c>
      <c r="F15" t="s">
        <v>566</v>
      </c>
      <c r="G15">
        <v>3</v>
      </c>
      <c r="H15">
        <v>1013</v>
      </c>
      <c r="I15">
        <v>3039</v>
      </c>
      <c r="J15">
        <f t="shared" si="0"/>
        <v>3039</v>
      </c>
      <c r="K15" t="str">
        <f>IF(Table1[[#This Row],[Quantity]]*Table1[[#This Row],[Unit_Price]]=Table1[[#This Row],[Sales]],"Match","Mismatch")</f>
        <v>Match</v>
      </c>
      <c r="L15">
        <f>Table1[[#This Row],[Profit]]/Table1[[#This Row],[Sales]]*100</f>
        <v>100</v>
      </c>
    </row>
    <row r="16" spans="1:12" x14ac:dyDescent="0.25">
      <c r="A16" t="s">
        <v>24</v>
      </c>
      <c r="B16" s="1">
        <v>45636</v>
      </c>
      <c r="C16" t="s">
        <v>424</v>
      </c>
      <c r="D16" t="s">
        <v>550</v>
      </c>
      <c r="E16" t="s">
        <v>554</v>
      </c>
      <c r="F16" t="s">
        <v>564</v>
      </c>
      <c r="G16">
        <v>3</v>
      </c>
      <c r="H16">
        <v>4324</v>
      </c>
      <c r="I16">
        <v>12972</v>
      </c>
      <c r="J16">
        <f t="shared" si="0"/>
        <v>12972</v>
      </c>
      <c r="K16" t="str">
        <f>IF(Table1[[#This Row],[Quantity]]*Table1[[#This Row],[Unit_Price]]=Table1[[#This Row],[Sales]],"Match","Mismatch")</f>
        <v>Match</v>
      </c>
      <c r="L16">
        <f>Table1[[#This Row],[Profit]]/Table1[[#This Row],[Sales]]*100</f>
        <v>100</v>
      </c>
    </row>
    <row r="17" spans="1:12" x14ac:dyDescent="0.25">
      <c r="A17" t="s">
        <v>25</v>
      </c>
      <c r="B17" s="1">
        <v>45571</v>
      </c>
      <c r="C17" t="s">
        <v>425</v>
      </c>
      <c r="D17" t="s">
        <v>551</v>
      </c>
      <c r="E17" t="s">
        <v>555</v>
      </c>
      <c r="F17" t="s">
        <v>567</v>
      </c>
      <c r="G17">
        <v>1</v>
      </c>
      <c r="H17">
        <v>2232</v>
      </c>
      <c r="I17">
        <v>2232</v>
      </c>
      <c r="J17">
        <f t="shared" si="0"/>
        <v>2232</v>
      </c>
      <c r="K17" t="str">
        <f>IF(Table1[[#This Row],[Quantity]]*Table1[[#This Row],[Unit_Price]]=Table1[[#This Row],[Sales]],"Match","Mismatch")</f>
        <v>Match</v>
      </c>
      <c r="L17">
        <f>Table1[[#This Row],[Profit]]/Table1[[#This Row],[Sales]]*100</f>
        <v>100</v>
      </c>
    </row>
    <row r="18" spans="1:12" x14ac:dyDescent="0.25">
      <c r="A18" t="s">
        <v>26</v>
      </c>
      <c r="B18" s="1">
        <v>45498</v>
      </c>
      <c r="C18" t="s">
        <v>426</v>
      </c>
      <c r="D18" t="s">
        <v>550</v>
      </c>
      <c r="E18" t="s">
        <v>555</v>
      </c>
      <c r="F18" t="s">
        <v>559</v>
      </c>
      <c r="G18">
        <v>8</v>
      </c>
      <c r="H18">
        <v>4772</v>
      </c>
      <c r="I18">
        <v>38176</v>
      </c>
      <c r="J18">
        <f t="shared" si="0"/>
        <v>38176</v>
      </c>
      <c r="K18" t="str">
        <f>IF(Table1[[#This Row],[Quantity]]*Table1[[#This Row],[Unit_Price]]=Table1[[#This Row],[Sales]],"Match","Mismatch")</f>
        <v>Match</v>
      </c>
      <c r="L18">
        <f>Table1[[#This Row],[Profit]]/Table1[[#This Row],[Sales]]*100</f>
        <v>100</v>
      </c>
    </row>
    <row r="19" spans="1:12" x14ac:dyDescent="0.25">
      <c r="A19" t="s">
        <v>27</v>
      </c>
      <c r="B19" s="1">
        <v>45347</v>
      </c>
      <c r="C19" t="s">
        <v>427</v>
      </c>
      <c r="D19" t="s">
        <v>550</v>
      </c>
      <c r="E19" t="s">
        <v>556</v>
      </c>
      <c r="F19" t="s">
        <v>563</v>
      </c>
      <c r="G19">
        <v>6</v>
      </c>
      <c r="H19">
        <v>4613</v>
      </c>
      <c r="I19">
        <v>27678</v>
      </c>
      <c r="J19">
        <f t="shared" si="0"/>
        <v>27678</v>
      </c>
      <c r="K19" t="str">
        <f>IF(Table1[[#This Row],[Quantity]]*Table1[[#This Row],[Unit_Price]]=Table1[[#This Row],[Sales]],"Match","Mismatch")</f>
        <v>Match</v>
      </c>
      <c r="L19">
        <f>Table1[[#This Row],[Profit]]/Table1[[#This Row],[Sales]]*100</f>
        <v>100</v>
      </c>
    </row>
    <row r="20" spans="1:12" x14ac:dyDescent="0.25">
      <c r="A20" t="s">
        <v>28</v>
      </c>
      <c r="B20" s="1">
        <v>45629</v>
      </c>
      <c r="C20" t="s">
        <v>428</v>
      </c>
      <c r="D20" t="s">
        <v>550</v>
      </c>
      <c r="E20" t="s">
        <v>553</v>
      </c>
      <c r="F20" t="s">
        <v>562</v>
      </c>
      <c r="G20">
        <v>8</v>
      </c>
      <c r="H20">
        <v>444</v>
      </c>
      <c r="I20">
        <v>3552</v>
      </c>
      <c r="J20">
        <f t="shared" si="0"/>
        <v>3552</v>
      </c>
      <c r="K20" t="str">
        <f>IF(Table1[[#This Row],[Quantity]]*Table1[[#This Row],[Unit_Price]]=Table1[[#This Row],[Sales]],"Match","Mismatch")</f>
        <v>Match</v>
      </c>
      <c r="L20">
        <f>Table1[[#This Row],[Profit]]/Table1[[#This Row],[Sales]]*100</f>
        <v>100</v>
      </c>
    </row>
    <row r="21" spans="1:12" x14ac:dyDescent="0.25">
      <c r="A21" t="s">
        <v>29</v>
      </c>
      <c r="B21" s="1">
        <v>45412</v>
      </c>
      <c r="C21" t="s">
        <v>429</v>
      </c>
      <c r="D21" t="s">
        <v>549</v>
      </c>
      <c r="E21" t="s">
        <v>556</v>
      </c>
      <c r="F21" t="s">
        <v>568</v>
      </c>
      <c r="G21">
        <v>9</v>
      </c>
      <c r="H21">
        <v>4992</v>
      </c>
      <c r="I21">
        <v>44928</v>
      </c>
      <c r="J21">
        <f t="shared" si="0"/>
        <v>44928</v>
      </c>
      <c r="K21" t="str">
        <f>IF(Table1[[#This Row],[Quantity]]*Table1[[#This Row],[Unit_Price]]=Table1[[#This Row],[Sales]],"Match","Mismatch")</f>
        <v>Match</v>
      </c>
      <c r="L21">
        <f>Table1[[#This Row],[Profit]]/Table1[[#This Row],[Sales]]*100</f>
        <v>100</v>
      </c>
    </row>
    <row r="22" spans="1:12" x14ac:dyDescent="0.25">
      <c r="A22" t="s">
        <v>30</v>
      </c>
      <c r="B22" s="1">
        <v>45399</v>
      </c>
      <c r="C22" t="s">
        <v>430</v>
      </c>
      <c r="D22" t="s">
        <v>552</v>
      </c>
      <c r="E22" t="s">
        <v>556</v>
      </c>
      <c r="F22" t="s">
        <v>569</v>
      </c>
      <c r="G22">
        <v>5</v>
      </c>
      <c r="H22">
        <v>471</v>
      </c>
      <c r="I22">
        <v>2355</v>
      </c>
      <c r="J22">
        <f t="shared" si="0"/>
        <v>2355</v>
      </c>
      <c r="K22" t="str">
        <f>IF(Table1[[#This Row],[Quantity]]*Table1[[#This Row],[Unit_Price]]=Table1[[#This Row],[Sales]],"Match","Mismatch")</f>
        <v>Match</v>
      </c>
      <c r="L22">
        <f>Table1[[#This Row],[Profit]]/Table1[[#This Row],[Sales]]*100</f>
        <v>100</v>
      </c>
    </row>
    <row r="23" spans="1:12" x14ac:dyDescent="0.25">
      <c r="A23" t="s">
        <v>31</v>
      </c>
      <c r="B23" s="1">
        <v>45317</v>
      </c>
      <c r="C23" t="s">
        <v>431</v>
      </c>
      <c r="D23" t="s">
        <v>551</v>
      </c>
      <c r="E23" t="s">
        <v>556</v>
      </c>
      <c r="F23" t="s">
        <v>569</v>
      </c>
      <c r="G23">
        <v>3</v>
      </c>
      <c r="H23">
        <v>3711</v>
      </c>
      <c r="I23">
        <v>11133</v>
      </c>
      <c r="J23">
        <f t="shared" si="0"/>
        <v>11133</v>
      </c>
      <c r="K23" t="str">
        <f>IF(Table1[[#This Row],[Quantity]]*Table1[[#This Row],[Unit_Price]]=Table1[[#This Row],[Sales]],"Match","Mismatch")</f>
        <v>Match</v>
      </c>
      <c r="L23">
        <f>Table1[[#This Row],[Profit]]/Table1[[#This Row],[Sales]]*100</f>
        <v>100</v>
      </c>
    </row>
    <row r="24" spans="1:12" x14ac:dyDescent="0.25">
      <c r="A24" t="s">
        <v>32</v>
      </c>
      <c r="B24" s="1">
        <v>45399</v>
      </c>
      <c r="C24" t="s">
        <v>432</v>
      </c>
      <c r="D24" t="s">
        <v>552</v>
      </c>
      <c r="E24" t="s">
        <v>556</v>
      </c>
      <c r="F24" t="s">
        <v>561</v>
      </c>
      <c r="G24">
        <v>5</v>
      </c>
      <c r="H24">
        <v>1971</v>
      </c>
      <c r="I24">
        <v>9855</v>
      </c>
      <c r="J24">
        <f t="shared" si="0"/>
        <v>9855</v>
      </c>
      <c r="K24" t="str">
        <f>IF(Table1[[#This Row],[Quantity]]*Table1[[#This Row],[Unit_Price]]=Table1[[#This Row],[Sales]],"Match","Mismatch")</f>
        <v>Match</v>
      </c>
      <c r="L24">
        <f>Table1[[#This Row],[Profit]]/Table1[[#This Row],[Sales]]*100</f>
        <v>100</v>
      </c>
    </row>
    <row r="25" spans="1:12" x14ac:dyDescent="0.25">
      <c r="A25" t="s">
        <v>33</v>
      </c>
      <c r="B25" s="1">
        <v>45406</v>
      </c>
      <c r="C25" t="s">
        <v>433</v>
      </c>
      <c r="D25" t="s">
        <v>550</v>
      </c>
      <c r="E25" t="s">
        <v>554</v>
      </c>
      <c r="F25" t="s">
        <v>564</v>
      </c>
      <c r="G25">
        <v>5</v>
      </c>
      <c r="H25">
        <v>1462</v>
      </c>
      <c r="I25">
        <v>7310</v>
      </c>
      <c r="J25">
        <f t="shared" si="0"/>
        <v>7310</v>
      </c>
      <c r="K25" t="str">
        <f>IF(Table1[[#This Row],[Quantity]]*Table1[[#This Row],[Unit_Price]]=Table1[[#This Row],[Sales]],"Match","Mismatch")</f>
        <v>Match</v>
      </c>
      <c r="L25">
        <f>Table1[[#This Row],[Profit]]/Table1[[#This Row],[Sales]]*100</f>
        <v>100</v>
      </c>
    </row>
    <row r="26" spans="1:12" x14ac:dyDescent="0.25">
      <c r="A26" t="s">
        <v>34</v>
      </c>
      <c r="B26" s="1">
        <v>45485</v>
      </c>
      <c r="C26" t="s">
        <v>434</v>
      </c>
      <c r="D26" t="s">
        <v>550</v>
      </c>
      <c r="E26" t="s">
        <v>553</v>
      </c>
      <c r="F26" t="s">
        <v>557</v>
      </c>
      <c r="G26">
        <v>5</v>
      </c>
      <c r="H26">
        <v>2624</v>
      </c>
      <c r="I26">
        <v>13120</v>
      </c>
      <c r="J26">
        <f t="shared" si="0"/>
        <v>13120</v>
      </c>
      <c r="K26" t="str">
        <f>IF(Table1[[#This Row],[Quantity]]*Table1[[#This Row],[Unit_Price]]=Table1[[#This Row],[Sales]],"Match","Mismatch")</f>
        <v>Match</v>
      </c>
      <c r="L26">
        <f>Table1[[#This Row],[Profit]]/Table1[[#This Row],[Sales]]*100</f>
        <v>100</v>
      </c>
    </row>
    <row r="27" spans="1:12" x14ac:dyDescent="0.25">
      <c r="A27" t="s">
        <v>35</v>
      </c>
      <c r="B27" s="1">
        <v>45492</v>
      </c>
      <c r="C27" t="s">
        <v>435</v>
      </c>
      <c r="D27" t="s">
        <v>552</v>
      </c>
      <c r="E27" t="s">
        <v>555</v>
      </c>
      <c r="F27" t="s">
        <v>559</v>
      </c>
      <c r="G27">
        <v>3</v>
      </c>
      <c r="H27">
        <v>4561</v>
      </c>
      <c r="I27">
        <v>13683</v>
      </c>
      <c r="J27">
        <f t="shared" si="0"/>
        <v>13683</v>
      </c>
      <c r="K27" t="str">
        <f>IF(Table1[[#This Row],[Quantity]]*Table1[[#This Row],[Unit_Price]]=Table1[[#This Row],[Sales]],"Match","Mismatch")</f>
        <v>Match</v>
      </c>
      <c r="L27">
        <f>Table1[[#This Row],[Profit]]/Table1[[#This Row],[Sales]]*100</f>
        <v>100</v>
      </c>
    </row>
    <row r="28" spans="1:12" x14ac:dyDescent="0.25">
      <c r="A28" t="s">
        <v>36</v>
      </c>
      <c r="B28" s="1">
        <v>45551</v>
      </c>
      <c r="C28" t="s">
        <v>436</v>
      </c>
      <c r="D28" t="s">
        <v>552</v>
      </c>
      <c r="E28" t="s">
        <v>555</v>
      </c>
      <c r="F28" t="s">
        <v>566</v>
      </c>
      <c r="G28">
        <v>4</v>
      </c>
      <c r="H28">
        <v>1120</v>
      </c>
      <c r="I28">
        <v>4480</v>
      </c>
      <c r="J28">
        <f t="shared" si="0"/>
        <v>4480</v>
      </c>
      <c r="K28" t="str">
        <f>IF(Table1[[#This Row],[Quantity]]*Table1[[#This Row],[Unit_Price]]=Table1[[#This Row],[Sales]],"Match","Mismatch")</f>
        <v>Match</v>
      </c>
      <c r="L28">
        <f>Table1[[#This Row],[Profit]]/Table1[[#This Row],[Sales]]*100</f>
        <v>100</v>
      </c>
    </row>
    <row r="29" spans="1:12" x14ac:dyDescent="0.25">
      <c r="A29" t="s">
        <v>37</v>
      </c>
      <c r="B29" s="1">
        <v>45378</v>
      </c>
      <c r="C29" t="s">
        <v>437</v>
      </c>
      <c r="D29" t="s">
        <v>552</v>
      </c>
      <c r="E29" t="s">
        <v>553</v>
      </c>
      <c r="F29" t="s">
        <v>560</v>
      </c>
      <c r="G29">
        <v>9</v>
      </c>
      <c r="H29">
        <v>3630</v>
      </c>
      <c r="I29">
        <v>32670</v>
      </c>
      <c r="J29">
        <f t="shared" si="0"/>
        <v>32670</v>
      </c>
      <c r="K29" t="str">
        <f>IF(Table1[[#This Row],[Quantity]]*Table1[[#This Row],[Unit_Price]]=Table1[[#This Row],[Sales]],"Match","Mismatch")</f>
        <v>Match</v>
      </c>
      <c r="L29">
        <f>Table1[[#This Row],[Profit]]/Table1[[#This Row],[Sales]]*100</f>
        <v>100</v>
      </c>
    </row>
    <row r="30" spans="1:12" x14ac:dyDescent="0.25">
      <c r="A30" t="s">
        <v>38</v>
      </c>
      <c r="B30" s="1">
        <v>45334</v>
      </c>
      <c r="C30" t="s">
        <v>438</v>
      </c>
      <c r="D30" t="s">
        <v>550</v>
      </c>
      <c r="E30" t="s">
        <v>555</v>
      </c>
      <c r="F30" t="s">
        <v>559</v>
      </c>
      <c r="G30">
        <v>9</v>
      </c>
      <c r="H30">
        <v>4635</v>
      </c>
      <c r="I30">
        <v>41715</v>
      </c>
      <c r="J30">
        <f t="shared" si="0"/>
        <v>41715</v>
      </c>
      <c r="K30" t="str">
        <f>IF(Table1[[#This Row],[Quantity]]*Table1[[#This Row],[Unit_Price]]=Table1[[#This Row],[Sales]],"Match","Mismatch")</f>
        <v>Match</v>
      </c>
      <c r="L30">
        <f>Table1[[#This Row],[Profit]]/Table1[[#This Row],[Sales]]*100</f>
        <v>100</v>
      </c>
    </row>
    <row r="31" spans="1:12" x14ac:dyDescent="0.25">
      <c r="A31" t="s">
        <v>39</v>
      </c>
      <c r="B31" s="1">
        <v>45443</v>
      </c>
      <c r="C31" t="s">
        <v>434</v>
      </c>
      <c r="D31" t="s">
        <v>550</v>
      </c>
      <c r="E31" t="s">
        <v>553</v>
      </c>
      <c r="F31" t="s">
        <v>560</v>
      </c>
      <c r="G31">
        <v>2</v>
      </c>
      <c r="H31">
        <v>4684</v>
      </c>
      <c r="I31">
        <v>9368</v>
      </c>
      <c r="J31">
        <f t="shared" si="0"/>
        <v>9368</v>
      </c>
      <c r="K31" t="str">
        <f>IF(Table1[[#This Row],[Quantity]]*Table1[[#This Row],[Unit_Price]]=Table1[[#This Row],[Sales]],"Match","Mismatch")</f>
        <v>Match</v>
      </c>
      <c r="L31">
        <f>Table1[[#This Row],[Profit]]/Table1[[#This Row],[Sales]]*100</f>
        <v>100</v>
      </c>
    </row>
    <row r="32" spans="1:12" x14ac:dyDescent="0.25">
      <c r="A32" t="s">
        <v>40</v>
      </c>
      <c r="B32" s="1">
        <v>45611</v>
      </c>
      <c r="C32" t="s">
        <v>439</v>
      </c>
      <c r="D32" t="s">
        <v>551</v>
      </c>
      <c r="E32" t="s">
        <v>555</v>
      </c>
      <c r="F32" t="s">
        <v>567</v>
      </c>
      <c r="G32">
        <v>8</v>
      </c>
      <c r="H32">
        <v>2824</v>
      </c>
      <c r="I32">
        <v>22592</v>
      </c>
      <c r="J32">
        <f t="shared" si="0"/>
        <v>22592</v>
      </c>
      <c r="K32" t="str">
        <f>IF(Table1[[#This Row],[Quantity]]*Table1[[#This Row],[Unit_Price]]=Table1[[#This Row],[Sales]],"Match","Mismatch")</f>
        <v>Match</v>
      </c>
      <c r="L32">
        <f>Table1[[#This Row],[Profit]]/Table1[[#This Row],[Sales]]*100</f>
        <v>100</v>
      </c>
    </row>
    <row r="33" spans="1:12" x14ac:dyDescent="0.25">
      <c r="A33" t="s">
        <v>41</v>
      </c>
      <c r="B33" s="1">
        <v>45413</v>
      </c>
      <c r="C33" t="s">
        <v>440</v>
      </c>
      <c r="D33" t="s">
        <v>551</v>
      </c>
      <c r="E33" t="s">
        <v>556</v>
      </c>
      <c r="F33" t="s">
        <v>569</v>
      </c>
      <c r="G33">
        <v>8</v>
      </c>
      <c r="H33">
        <v>3960</v>
      </c>
      <c r="I33">
        <v>31680</v>
      </c>
      <c r="J33">
        <f t="shared" si="0"/>
        <v>31680</v>
      </c>
      <c r="K33" t="str">
        <f>IF(Table1[[#This Row],[Quantity]]*Table1[[#This Row],[Unit_Price]]=Table1[[#This Row],[Sales]],"Match","Mismatch")</f>
        <v>Match</v>
      </c>
      <c r="L33">
        <f>Table1[[#This Row],[Profit]]/Table1[[#This Row],[Sales]]*100</f>
        <v>100</v>
      </c>
    </row>
    <row r="34" spans="1:12" x14ac:dyDescent="0.25">
      <c r="A34" t="s">
        <v>42</v>
      </c>
      <c r="B34" s="1">
        <v>45530</v>
      </c>
      <c r="C34" t="s">
        <v>441</v>
      </c>
      <c r="D34" t="s">
        <v>550</v>
      </c>
      <c r="E34" t="s">
        <v>555</v>
      </c>
      <c r="F34" t="s">
        <v>570</v>
      </c>
      <c r="G34">
        <v>7</v>
      </c>
      <c r="H34">
        <v>2250</v>
      </c>
      <c r="I34">
        <v>15750</v>
      </c>
      <c r="J34">
        <f t="shared" si="0"/>
        <v>15750</v>
      </c>
      <c r="K34" t="str">
        <f>IF(Table1[[#This Row],[Quantity]]*Table1[[#This Row],[Unit_Price]]=Table1[[#This Row],[Sales]],"Match","Mismatch")</f>
        <v>Match</v>
      </c>
      <c r="L34">
        <f>Table1[[#This Row],[Profit]]/Table1[[#This Row],[Sales]]*100</f>
        <v>100</v>
      </c>
    </row>
    <row r="35" spans="1:12" x14ac:dyDescent="0.25">
      <c r="A35" t="s">
        <v>43</v>
      </c>
      <c r="B35" s="1">
        <v>45572</v>
      </c>
      <c r="C35" t="s">
        <v>442</v>
      </c>
      <c r="D35" t="s">
        <v>552</v>
      </c>
      <c r="E35" t="s">
        <v>553</v>
      </c>
      <c r="F35" t="s">
        <v>571</v>
      </c>
      <c r="G35">
        <v>8</v>
      </c>
      <c r="H35">
        <v>3700</v>
      </c>
      <c r="I35">
        <v>29600</v>
      </c>
      <c r="J35">
        <f t="shared" si="0"/>
        <v>29600</v>
      </c>
      <c r="K35" t="str">
        <f>IF(Table1[[#This Row],[Quantity]]*Table1[[#This Row],[Unit_Price]]=Table1[[#This Row],[Sales]],"Match","Mismatch")</f>
        <v>Match</v>
      </c>
      <c r="L35">
        <f>Table1[[#This Row],[Profit]]/Table1[[#This Row],[Sales]]*100</f>
        <v>100</v>
      </c>
    </row>
    <row r="36" spans="1:12" x14ac:dyDescent="0.25">
      <c r="A36" t="s">
        <v>44</v>
      </c>
      <c r="B36" s="1">
        <v>45416</v>
      </c>
      <c r="C36" t="s">
        <v>443</v>
      </c>
      <c r="D36" t="s">
        <v>552</v>
      </c>
      <c r="E36" t="s">
        <v>553</v>
      </c>
      <c r="F36" t="s">
        <v>571</v>
      </c>
      <c r="G36">
        <v>3</v>
      </c>
      <c r="H36">
        <v>1365</v>
      </c>
      <c r="I36">
        <v>4095</v>
      </c>
      <c r="J36">
        <f t="shared" si="0"/>
        <v>4095</v>
      </c>
      <c r="K36" t="str">
        <f>IF(Table1[[#This Row],[Quantity]]*Table1[[#This Row],[Unit_Price]]=Table1[[#This Row],[Sales]],"Match","Mismatch")</f>
        <v>Match</v>
      </c>
      <c r="L36">
        <f>Table1[[#This Row],[Profit]]/Table1[[#This Row],[Sales]]*100</f>
        <v>100</v>
      </c>
    </row>
    <row r="37" spans="1:12" x14ac:dyDescent="0.25">
      <c r="A37" t="s">
        <v>45</v>
      </c>
      <c r="B37" s="1">
        <v>45523</v>
      </c>
      <c r="C37" t="s">
        <v>444</v>
      </c>
      <c r="D37" t="s">
        <v>551</v>
      </c>
      <c r="E37" t="s">
        <v>553</v>
      </c>
      <c r="F37" t="s">
        <v>571</v>
      </c>
      <c r="G37">
        <v>6</v>
      </c>
      <c r="H37">
        <v>575</v>
      </c>
      <c r="I37">
        <v>3450</v>
      </c>
      <c r="J37">
        <f t="shared" si="0"/>
        <v>3450</v>
      </c>
      <c r="K37" t="str">
        <f>IF(Table1[[#This Row],[Quantity]]*Table1[[#This Row],[Unit_Price]]=Table1[[#This Row],[Sales]],"Match","Mismatch")</f>
        <v>Match</v>
      </c>
      <c r="L37">
        <f>Table1[[#This Row],[Profit]]/Table1[[#This Row],[Sales]]*100</f>
        <v>100</v>
      </c>
    </row>
    <row r="38" spans="1:12" x14ac:dyDescent="0.25">
      <c r="A38" t="s">
        <v>46</v>
      </c>
      <c r="B38" s="1">
        <v>45385</v>
      </c>
      <c r="C38" t="s">
        <v>445</v>
      </c>
      <c r="D38" t="s">
        <v>550</v>
      </c>
      <c r="E38" t="s">
        <v>553</v>
      </c>
      <c r="F38" t="s">
        <v>560</v>
      </c>
      <c r="G38">
        <v>1</v>
      </c>
      <c r="H38">
        <v>2233</v>
      </c>
      <c r="I38">
        <v>2233</v>
      </c>
      <c r="J38">
        <f t="shared" si="0"/>
        <v>2233</v>
      </c>
      <c r="K38" t="str">
        <f>IF(Table1[[#This Row],[Quantity]]*Table1[[#This Row],[Unit_Price]]=Table1[[#This Row],[Sales]],"Match","Mismatch")</f>
        <v>Match</v>
      </c>
      <c r="L38">
        <f>Table1[[#This Row],[Profit]]/Table1[[#This Row],[Sales]]*100</f>
        <v>100</v>
      </c>
    </row>
    <row r="39" spans="1:12" x14ac:dyDescent="0.25">
      <c r="A39" t="s">
        <v>47</v>
      </c>
      <c r="B39" s="1">
        <v>45302</v>
      </c>
      <c r="C39" t="s">
        <v>446</v>
      </c>
      <c r="D39" t="s">
        <v>551</v>
      </c>
      <c r="E39" t="s">
        <v>553</v>
      </c>
      <c r="F39" t="s">
        <v>562</v>
      </c>
      <c r="G39">
        <v>7</v>
      </c>
      <c r="H39">
        <v>345</v>
      </c>
      <c r="I39">
        <v>2415</v>
      </c>
      <c r="J39">
        <f t="shared" si="0"/>
        <v>2415</v>
      </c>
      <c r="K39" t="str">
        <f>IF(Table1[[#This Row],[Quantity]]*Table1[[#This Row],[Unit_Price]]=Table1[[#This Row],[Sales]],"Match","Mismatch")</f>
        <v>Match</v>
      </c>
      <c r="L39">
        <f>Table1[[#This Row],[Profit]]/Table1[[#This Row],[Sales]]*100</f>
        <v>100</v>
      </c>
    </row>
    <row r="40" spans="1:12" x14ac:dyDescent="0.25">
      <c r="A40" t="s">
        <v>48</v>
      </c>
      <c r="B40" s="1">
        <v>45441</v>
      </c>
      <c r="C40" t="s">
        <v>445</v>
      </c>
      <c r="D40" t="s">
        <v>551</v>
      </c>
      <c r="E40" t="s">
        <v>554</v>
      </c>
      <c r="F40" t="s">
        <v>572</v>
      </c>
      <c r="G40">
        <v>1</v>
      </c>
      <c r="H40">
        <v>4588</v>
      </c>
      <c r="I40">
        <v>4588</v>
      </c>
      <c r="J40">
        <f t="shared" si="0"/>
        <v>4588</v>
      </c>
      <c r="K40" t="str">
        <f>IF(Table1[[#This Row],[Quantity]]*Table1[[#This Row],[Unit_Price]]=Table1[[#This Row],[Sales]],"Match","Mismatch")</f>
        <v>Match</v>
      </c>
      <c r="L40">
        <f>Table1[[#This Row],[Profit]]/Table1[[#This Row],[Sales]]*100</f>
        <v>100</v>
      </c>
    </row>
    <row r="41" spans="1:12" x14ac:dyDescent="0.25">
      <c r="A41" t="s">
        <v>49</v>
      </c>
      <c r="B41" s="1">
        <v>45516</v>
      </c>
      <c r="C41" t="s">
        <v>447</v>
      </c>
      <c r="D41" t="s">
        <v>549</v>
      </c>
      <c r="E41" t="s">
        <v>554</v>
      </c>
      <c r="F41" t="s">
        <v>573</v>
      </c>
      <c r="G41">
        <v>9</v>
      </c>
      <c r="H41">
        <v>631</v>
      </c>
      <c r="I41">
        <v>5679</v>
      </c>
      <c r="J41">
        <f t="shared" si="0"/>
        <v>5679</v>
      </c>
      <c r="K41" t="str">
        <f>IF(Table1[[#This Row],[Quantity]]*Table1[[#This Row],[Unit_Price]]=Table1[[#This Row],[Sales]],"Match","Mismatch")</f>
        <v>Match</v>
      </c>
      <c r="L41">
        <f>Table1[[#This Row],[Profit]]/Table1[[#This Row],[Sales]]*100</f>
        <v>100</v>
      </c>
    </row>
    <row r="42" spans="1:12" x14ac:dyDescent="0.25">
      <c r="A42" t="s">
        <v>50</v>
      </c>
      <c r="B42" s="1">
        <v>45598</v>
      </c>
      <c r="C42" t="s">
        <v>448</v>
      </c>
      <c r="D42" t="s">
        <v>549</v>
      </c>
      <c r="E42" t="s">
        <v>555</v>
      </c>
      <c r="F42" t="s">
        <v>566</v>
      </c>
      <c r="G42">
        <v>1</v>
      </c>
      <c r="H42">
        <v>904</v>
      </c>
      <c r="I42">
        <v>904</v>
      </c>
      <c r="J42">
        <f t="shared" si="0"/>
        <v>904</v>
      </c>
      <c r="K42" t="str">
        <f>IF(Table1[[#This Row],[Quantity]]*Table1[[#This Row],[Unit_Price]]=Table1[[#This Row],[Sales]],"Match","Mismatch")</f>
        <v>Match</v>
      </c>
      <c r="L42">
        <f>Table1[[#This Row],[Profit]]/Table1[[#This Row],[Sales]]*100</f>
        <v>100</v>
      </c>
    </row>
    <row r="43" spans="1:12" x14ac:dyDescent="0.25">
      <c r="A43" t="s">
        <v>51</v>
      </c>
      <c r="B43" s="1">
        <v>45653</v>
      </c>
      <c r="C43" t="s">
        <v>449</v>
      </c>
      <c r="D43" t="s">
        <v>549</v>
      </c>
      <c r="E43" t="s">
        <v>553</v>
      </c>
      <c r="F43" t="s">
        <v>571</v>
      </c>
      <c r="G43">
        <v>1</v>
      </c>
      <c r="H43">
        <v>2832</v>
      </c>
      <c r="I43">
        <v>2832</v>
      </c>
      <c r="J43">
        <f t="shared" si="0"/>
        <v>2832</v>
      </c>
      <c r="K43" t="str">
        <f>IF(Table1[[#This Row],[Quantity]]*Table1[[#This Row],[Unit_Price]]=Table1[[#This Row],[Sales]],"Match","Mismatch")</f>
        <v>Match</v>
      </c>
      <c r="L43">
        <f>Table1[[#This Row],[Profit]]/Table1[[#This Row],[Sales]]*100</f>
        <v>100</v>
      </c>
    </row>
    <row r="44" spans="1:12" x14ac:dyDescent="0.25">
      <c r="A44" t="s">
        <v>52</v>
      </c>
      <c r="B44" s="1">
        <v>45358</v>
      </c>
      <c r="C44" t="s">
        <v>450</v>
      </c>
      <c r="D44" t="s">
        <v>552</v>
      </c>
      <c r="E44" t="s">
        <v>555</v>
      </c>
      <c r="F44" t="s">
        <v>559</v>
      </c>
      <c r="G44">
        <v>7</v>
      </c>
      <c r="H44">
        <v>4694</v>
      </c>
      <c r="I44">
        <v>32858</v>
      </c>
      <c r="J44">
        <f t="shared" si="0"/>
        <v>32858</v>
      </c>
      <c r="K44" t="str">
        <f>IF(Table1[[#This Row],[Quantity]]*Table1[[#This Row],[Unit_Price]]=Table1[[#This Row],[Sales]],"Match","Mismatch")</f>
        <v>Match</v>
      </c>
      <c r="L44">
        <f>Table1[[#This Row],[Profit]]/Table1[[#This Row],[Sales]]*100</f>
        <v>100</v>
      </c>
    </row>
    <row r="45" spans="1:12" x14ac:dyDescent="0.25">
      <c r="A45" t="s">
        <v>53</v>
      </c>
      <c r="B45" s="1">
        <v>45460</v>
      </c>
      <c r="C45" t="s">
        <v>451</v>
      </c>
      <c r="D45" t="s">
        <v>550</v>
      </c>
      <c r="E45" t="s">
        <v>553</v>
      </c>
      <c r="F45" t="s">
        <v>557</v>
      </c>
      <c r="G45">
        <v>2</v>
      </c>
      <c r="H45">
        <v>1163</v>
      </c>
      <c r="I45">
        <v>2326</v>
      </c>
      <c r="J45">
        <f t="shared" si="0"/>
        <v>2326</v>
      </c>
      <c r="K45" t="str">
        <f>IF(Table1[[#This Row],[Quantity]]*Table1[[#This Row],[Unit_Price]]=Table1[[#This Row],[Sales]],"Match","Mismatch")</f>
        <v>Match</v>
      </c>
      <c r="L45">
        <f>Table1[[#This Row],[Profit]]/Table1[[#This Row],[Sales]]*100</f>
        <v>100</v>
      </c>
    </row>
    <row r="46" spans="1:12" x14ac:dyDescent="0.25">
      <c r="A46" t="s">
        <v>54</v>
      </c>
      <c r="B46" s="1">
        <v>45532</v>
      </c>
      <c r="C46" t="s">
        <v>452</v>
      </c>
      <c r="D46" t="s">
        <v>550</v>
      </c>
      <c r="E46" t="s">
        <v>553</v>
      </c>
      <c r="F46" t="s">
        <v>571</v>
      </c>
      <c r="G46">
        <v>5</v>
      </c>
      <c r="H46">
        <v>2434</v>
      </c>
      <c r="I46">
        <v>12170</v>
      </c>
      <c r="J46">
        <f t="shared" si="0"/>
        <v>12170</v>
      </c>
      <c r="K46" t="str">
        <f>IF(Table1[[#This Row],[Quantity]]*Table1[[#This Row],[Unit_Price]]=Table1[[#This Row],[Sales]],"Match","Mismatch")</f>
        <v>Match</v>
      </c>
      <c r="L46">
        <f>Table1[[#This Row],[Profit]]/Table1[[#This Row],[Sales]]*100</f>
        <v>100</v>
      </c>
    </row>
    <row r="47" spans="1:12" x14ac:dyDescent="0.25">
      <c r="A47" t="s">
        <v>55</v>
      </c>
      <c r="B47" s="1">
        <v>45341</v>
      </c>
      <c r="C47" t="s">
        <v>453</v>
      </c>
      <c r="D47" t="s">
        <v>550</v>
      </c>
      <c r="E47" t="s">
        <v>554</v>
      </c>
      <c r="F47" t="s">
        <v>574</v>
      </c>
      <c r="G47">
        <v>8</v>
      </c>
      <c r="H47">
        <v>2241</v>
      </c>
      <c r="I47">
        <v>17928</v>
      </c>
      <c r="J47">
        <f t="shared" si="0"/>
        <v>17928</v>
      </c>
      <c r="K47" t="str">
        <f>IF(Table1[[#This Row],[Quantity]]*Table1[[#This Row],[Unit_Price]]=Table1[[#This Row],[Sales]],"Match","Mismatch")</f>
        <v>Match</v>
      </c>
      <c r="L47">
        <f>Table1[[#This Row],[Profit]]/Table1[[#This Row],[Sales]]*100</f>
        <v>100</v>
      </c>
    </row>
    <row r="48" spans="1:12" x14ac:dyDescent="0.25">
      <c r="A48" t="s">
        <v>56</v>
      </c>
      <c r="B48" s="1">
        <v>45357</v>
      </c>
      <c r="C48" t="s">
        <v>454</v>
      </c>
      <c r="D48" t="s">
        <v>550</v>
      </c>
      <c r="E48" t="s">
        <v>554</v>
      </c>
      <c r="F48" t="s">
        <v>564</v>
      </c>
      <c r="G48">
        <v>8</v>
      </c>
      <c r="H48">
        <v>2028</v>
      </c>
      <c r="I48">
        <v>16224</v>
      </c>
      <c r="J48">
        <f t="shared" si="0"/>
        <v>16224</v>
      </c>
      <c r="K48" t="str">
        <f>IF(Table1[[#This Row],[Quantity]]*Table1[[#This Row],[Unit_Price]]=Table1[[#This Row],[Sales]],"Match","Mismatch")</f>
        <v>Match</v>
      </c>
      <c r="L48">
        <f>Table1[[#This Row],[Profit]]/Table1[[#This Row],[Sales]]*100</f>
        <v>100</v>
      </c>
    </row>
    <row r="49" spans="1:12" x14ac:dyDescent="0.25">
      <c r="A49" t="s">
        <v>57</v>
      </c>
      <c r="B49" s="1">
        <v>45633</v>
      </c>
      <c r="C49" t="s">
        <v>455</v>
      </c>
      <c r="D49" t="s">
        <v>549</v>
      </c>
      <c r="E49" t="s">
        <v>556</v>
      </c>
      <c r="F49" t="s">
        <v>565</v>
      </c>
      <c r="G49">
        <v>3</v>
      </c>
      <c r="H49">
        <v>2308</v>
      </c>
      <c r="I49">
        <v>6924</v>
      </c>
      <c r="J49">
        <f t="shared" si="0"/>
        <v>6924</v>
      </c>
      <c r="K49" t="str">
        <f>IF(Table1[[#This Row],[Quantity]]*Table1[[#This Row],[Unit_Price]]=Table1[[#This Row],[Sales]],"Match","Mismatch")</f>
        <v>Match</v>
      </c>
      <c r="L49">
        <f>Table1[[#This Row],[Profit]]/Table1[[#This Row],[Sales]]*100</f>
        <v>100</v>
      </c>
    </row>
    <row r="50" spans="1:12" x14ac:dyDescent="0.25">
      <c r="A50" t="s">
        <v>58</v>
      </c>
      <c r="B50" s="1">
        <v>45579</v>
      </c>
      <c r="C50" t="s">
        <v>429</v>
      </c>
      <c r="D50" t="s">
        <v>552</v>
      </c>
      <c r="E50" t="s">
        <v>554</v>
      </c>
      <c r="F50" t="s">
        <v>572</v>
      </c>
      <c r="G50">
        <v>7</v>
      </c>
      <c r="H50">
        <v>4268</v>
      </c>
      <c r="I50">
        <v>29876</v>
      </c>
      <c r="J50">
        <f t="shared" si="0"/>
        <v>29876</v>
      </c>
      <c r="K50" t="str">
        <f>IF(Table1[[#This Row],[Quantity]]*Table1[[#This Row],[Unit_Price]]=Table1[[#This Row],[Sales]],"Match","Mismatch")</f>
        <v>Match</v>
      </c>
      <c r="L50">
        <f>Table1[[#This Row],[Profit]]/Table1[[#This Row],[Sales]]*100</f>
        <v>100</v>
      </c>
    </row>
    <row r="51" spans="1:12" x14ac:dyDescent="0.25">
      <c r="A51" t="s">
        <v>59</v>
      </c>
      <c r="B51" s="1">
        <v>45534</v>
      </c>
      <c r="C51" t="s">
        <v>456</v>
      </c>
      <c r="D51" t="s">
        <v>552</v>
      </c>
      <c r="E51" t="s">
        <v>556</v>
      </c>
      <c r="F51" t="s">
        <v>569</v>
      </c>
      <c r="G51">
        <v>3</v>
      </c>
      <c r="H51">
        <v>1138</v>
      </c>
      <c r="I51">
        <v>3414</v>
      </c>
      <c r="J51">
        <f t="shared" si="0"/>
        <v>3414</v>
      </c>
      <c r="K51" t="str">
        <f>IF(Table1[[#This Row],[Quantity]]*Table1[[#This Row],[Unit_Price]]=Table1[[#This Row],[Sales]],"Match","Mismatch")</f>
        <v>Match</v>
      </c>
      <c r="L51">
        <f>Table1[[#This Row],[Profit]]/Table1[[#This Row],[Sales]]*100</f>
        <v>100</v>
      </c>
    </row>
    <row r="52" spans="1:12" x14ac:dyDescent="0.25">
      <c r="A52" t="s">
        <v>60</v>
      </c>
      <c r="B52" s="1">
        <v>45388</v>
      </c>
      <c r="C52" t="s">
        <v>457</v>
      </c>
      <c r="D52" t="s">
        <v>549</v>
      </c>
      <c r="E52" t="s">
        <v>556</v>
      </c>
      <c r="F52" t="s">
        <v>568</v>
      </c>
      <c r="G52">
        <v>6</v>
      </c>
      <c r="H52">
        <v>1006</v>
      </c>
      <c r="I52">
        <v>6036</v>
      </c>
      <c r="J52">
        <f t="shared" si="0"/>
        <v>6036</v>
      </c>
      <c r="K52" t="str">
        <f>IF(Table1[[#This Row],[Quantity]]*Table1[[#This Row],[Unit_Price]]=Table1[[#This Row],[Sales]],"Match","Mismatch")</f>
        <v>Match</v>
      </c>
      <c r="L52">
        <f>Table1[[#This Row],[Profit]]/Table1[[#This Row],[Sales]]*100</f>
        <v>100</v>
      </c>
    </row>
    <row r="53" spans="1:12" x14ac:dyDescent="0.25">
      <c r="A53" t="s">
        <v>61</v>
      </c>
      <c r="B53" s="1">
        <v>45597</v>
      </c>
      <c r="C53" t="s">
        <v>458</v>
      </c>
      <c r="D53" t="s">
        <v>552</v>
      </c>
      <c r="E53" t="s">
        <v>556</v>
      </c>
      <c r="F53" t="s">
        <v>565</v>
      </c>
      <c r="G53">
        <v>6</v>
      </c>
      <c r="H53">
        <v>1663</v>
      </c>
      <c r="I53">
        <v>9978</v>
      </c>
      <c r="J53">
        <f t="shared" si="0"/>
        <v>9978</v>
      </c>
      <c r="K53" t="str">
        <f>IF(Table1[[#This Row],[Quantity]]*Table1[[#This Row],[Unit_Price]]=Table1[[#This Row],[Sales]],"Match","Mismatch")</f>
        <v>Match</v>
      </c>
      <c r="L53">
        <f>Table1[[#This Row],[Profit]]/Table1[[#This Row],[Sales]]*100</f>
        <v>100</v>
      </c>
    </row>
    <row r="54" spans="1:12" x14ac:dyDescent="0.25">
      <c r="A54" t="s">
        <v>62</v>
      </c>
      <c r="B54" s="1">
        <v>45402</v>
      </c>
      <c r="C54" t="s">
        <v>459</v>
      </c>
      <c r="D54" t="s">
        <v>549</v>
      </c>
      <c r="E54" t="s">
        <v>556</v>
      </c>
      <c r="F54" t="s">
        <v>568</v>
      </c>
      <c r="G54">
        <v>3</v>
      </c>
      <c r="H54">
        <v>3615</v>
      </c>
      <c r="I54">
        <v>10845</v>
      </c>
      <c r="J54">
        <f t="shared" si="0"/>
        <v>10845</v>
      </c>
      <c r="K54" t="str">
        <f>IF(Table1[[#This Row],[Quantity]]*Table1[[#This Row],[Unit_Price]]=Table1[[#This Row],[Sales]],"Match","Mismatch")</f>
        <v>Match</v>
      </c>
      <c r="L54">
        <f>Table1[[#This Row],[Profit]]/Table1[[#This Row],[Sales]]*100</f>
        <v>100</v>
      </c>
    </row>
    <row r="55" spans="1:12" x14ac:dyDescent="0.25">
      <c r="A55" t="s">
        <v>63</v>
      </c>
      <c r="B55" s="1">
        <v>45529</v>
      </c>
      <c r="C55" t="s">
        <v>460</v>
      </c>
      <c r="D55" t="s">
        <v>550</v>
      </c>
      <c r="E55" t="s">
        <v>556</v>
      </c>
      <c r="F55" t="s">
        <v>561</v>
      </c>
      <c r="G55">
        <v>7</v>
      </c>
      <c r="H55">
        <v>210</v>
      </c>
      <c r="I55">
        <v>1470</v>
      </c>
      <c r="J55">
        <f t="shared" si="0"/>
        <v>1470</v>
      </c>
      <c r="K55" t="str">
        <f>IF(Table1[[#This Row],[Quantity]]*Table1[[#This Row],[Unit_Price]]=Table1[[#This Row],[Sales]],"Match","Mismatch")</f>
        <v>Match</v>
      </c>
      <c r="L55">
        <f>Table1[[#This Row],[Profit]]/Table1[[#This Row],[Sales]]*100</f>
        <v>100</v>
      </c>
    </row>
    <row r="56" spans="1:12" x14ac:dyDescent="0.25">
      <c r="A56" t="s">
        <v>64</v>
      </c>
      <c r="B56" s="1">
        <v>45335</v>
      </c>
      <c r="C56" t="s">
        <v>461</v>
      </c>
      <c r="D56" t="s">
        <v>549</v>
      </c>
      <c r="E56" t="s">
        <v>555</v>
      </c>
      <c r="F56" t="s">
        <v>575</v>
      </c>
      <c r="G56">
        <v>3</v>
      </c>
      <c r="H56">
        <v>2068</v>
      </c>
      <c r="I56">
        <v>6204</v>
      </c>
      <c r="J56">
        <f t="shared" si="0"/>
        <v>6204</v>
      </c>
      <c r="K56" t="str">
        <f>IF(Table1[[#This Row],[Quantity]]*Table1[[#This Row],[Unit_Price]]=Table1[[#This Row],[Sales]],"Match","Mismatch")</f>
        <v>Match</v>
      </c>
      <c r="L56">
        <f>Table1[[#This Row],[Profit]]/Table1[[#This Row],[Sales]]*100</f>
        <v>100</v>
      </c>
    </row>
    <row r="57" spans="1:12" x14ac:dyDescent="0.25">
      <c r="A57" t="s">
        <v>65</v>
      </c>
      <c r="B57" s="1">
        <v>45632</v>
      </c>
      <c r="C57" t="s">
        <v>462</v>
      </c>
      <c r="D57" t="s">
        <v>550</v>
      </c>
      <c r="E57" t="s">
        <v>554</v>
      </c>
      <c r="F57" t="s">
        <v>574</v>
      </c>
      <c r="G57">
        <v>8</v>
      </c>
      <c r="H57">
        <v>1084</v>
      </c>
      <c r="I57">
        <v>8672</v>
      </c>
      <c r="J57">
        <f t="shared" si="0"/>
        <v>8672</v>
      </c>
      <c r="K57" t="str">
        <f>IF(Table1[[#This Row],[Quantity]]*Table1[[#This Row],[Unit_Price]]=Table1[[#This Row],[Sales]],"Match","Mismatch")</f>
        <v>Match</v>
      </c>
      <c r="L57">
        <f>Table1[[#This Row],[Profit]]/Table1[[#This Row],[Sales]]*100</f>
        <v>100</v>
      </c>
    </row>
    <row r="58" spans="1:12" x14ac:dyDescent="0.25">
      <c r="A58" t="s">
        <v>66</v>
      </c>
      <c r="B58" s="1">
        <v>45325</v>
      </c>
      <c r="C58" t="s">
        <v>463</v>
      </c>
      <c r="D58" t="s">
        <v>550</v>
      </c>
      <c r="E58" t="s">
        <v>556</v>
      </c>
      <c r="F58" t="s">
        <v>569</v>
      </c>
      <c r="G58">
        <v>4</v>
      </c>
      <c r="H58">
        <v>3764</v>
      </c>
      <c r="I58">
        <v>15056</v>
      </c>
      <c r="J58">
        <f t="shared" si="0"/>
        <v>15056</v>
      </c>
      <c r="K58" t="str">
        <f>IF(Table1[[#This Row],[Quantity]]*Table1[[#This Row],[Unit_Price]]=Table1[[#This Row],[Sales]],"Match","Mismatch")</f>
        <v>Match</v>
      </c>
      <c r="L58">
        <f>Table1[[#This Row],[Profit]]/Table1[[#This Row],[Sales]]*100</f>
        <v>100</v>
      </c>
    </row>
    <row r="59" spans="1:12" x14ac:dyDescent="0.25">
      <c r="A59" t="s">
        <v>67</v>
      </c>
      <c r="B59" s="1">
        <v>45441</v>
      </c>
      <c r="C59" t="s">
        <v>464</v>
      </c>
      <c r="D59" t="s">
        <v>551</v>
      </c>
      <c r="E59" t="s">
        <v>553</v>
      </c>
      <c r="F59" t="s">
        <v>560</v>
      </c>
      <c r="G59">
        <v>1</v>
      </c>
      <c r="H59">
        <v>1589</v>
      </c>
      <c r="I59">
        <v>1589</v>
      </c>
      <c r="J59">
        <f t="shared" si="0"/>
        <v>1589</v>
      </c>
      <c r="K59" t="str">
        <f>IF(Table1[[#This Row],[Quantity]]*Table1[[#This Row],[Unit_Price]]=Table1[[#This Row],[Sales]],"Match","Mismatch")</f>
        <v>Match</v>
      </c>
      <c r="L59">
        <f>Table1[[#This Row],[Profit]]/Table1[[#This Row],[Sales]]*100</f>
        <v>100</v>
      </c>
    </row>
    <row r="60" spans="1:12" x14ac:dyDescent="0.25">
      <c r="A60" t="s">
        <v>68</v>
      </c>
      <c r="B60" s="1">
        <v>45573</v>
      </c>
      <c r="C60" t="s">
        <v>428</v>
      </c>
      <c r="D60" t="s">
        <v>549</v>
      </c>
      <c r="E60" t="s">
        <v>554</v>
      </c>
      <c r="F60" t="s">
        <v>572</v>
      </c>
      <c r="G60">
        <v>4</v>
      </c>
      <c r="H60">
        <v>3601</v>
      </c>
      <c r="I60">
        <v>14404</v>
      </c>
      <c r="J60">
        <f t="shared" si="0"/>
        <v>14404</v>
      </c>
      <c r="K60" t="str">
        <f>IF(Table1[[#This Row],[Quantity]]*Table1[[#This Row],[Unit_Price]]=Table1[[#This Row],[Sales]],"Match","Mismatch")</f>
        <v>Match</v>
      </c>
      <c r="L60">
        <f>Table1[[#This Row],[Profit]]/Table1[[#This Row],[Sales]]*100</f>
        <v>100</v>
      </c>
    </row>
    <row r="61" spans="1:12" x14ac:dyDescent="0.25">
      <c r="A61" t="s">
        <v>69</v>
      </c>
      <c r="B61" s="1">
        <v>45449</v>
      </c>
      <c r="C61" t="s">
        <v>465</v>
      </c>
      <c r="D61" t="s">
        <v>551</v>
      </c>
      <c r="E61" t="s">
        <v>554</v>
      </c>
      <c r="F61" t="s">
        <v>573</v>
      </c>
      <c r="G61">
        <v>7</v>
      </c>
      <c r="H61">
        <v>4521</v>
      </c>
      <c r="I61">
        <v>31647</v>
      </c>
      <c r="J61">
        <f t="shared" si="0"/>
        <v>31647</v>
      </c>
      <c r="K61" t="str">
        <f>IF(Table1[[#This Row],[Quantity]]*Table1[[#This Row],[Unit_Price]]=Table1[[#This Row],[Sales]],"Match","Mismatch")</f>
        <v>Match</v>
      </c>
      <c r="L61">
        <f>Table1[[#This Row],[Profit]]/Table1[[#This Row],[Sales]]*100</f>
        <v>100</v>
      </c>
    </row>
    <row r="62" spans="1:12" x14ac:dyDescent="0.25">
      <c r="A62" t="s">
        <v>70</v>
      </c>
      <c r="B62" s="1">
        <v>45496</v>
      </c>
      <c r="C62" t="s">
        <v>466</v>
      </c>
      <c r="D62" t="s">
        <v>549</v>
      </c>
      <c r="E62" t="s">
        <v>556</v>
      </c>
      <c r="F62" t="s">
        <v>569</v>
      </c>
      <c r="G62">
        <v>4</v>
      </c>
      <c r="H62">
        <v>1024</v>
      </c>
      <c r="I62">
        <v>4096</v>
      </c>
      <c r="J62">
        <f t="shared" si="0"/>
        <v>4096</v>
      </c>
      <c r="K62" t="str">
        <f>IF(Table1[[#This Row],[Quantity]]*Table1[[#This Row],[Unit_Price]]=Table1[[#This Row],[Sales]],"Match","Mismatch")</f>
        <v>Match</v>
      </c>
      <c r="L62">
        <f>Table1[[#This Row],[Profit]]/Table1[[#This Row],[Sales]]*100</f>
        <v>100</v>
      </c>
    </row>
    <row r="63" spans="1:12" x14ac:dyDescent="0.25">
      <c r="A63" t="s">
        <v>71</v>
      </c>
      <c r="B63" s="1">
        <v>45439</v>
      </c>
      <c r="C63" t="s">
        <v>467</v>
      </c>
      <c r="D63" t="s">
        <v>549</v>
      </c>
      <c r="E63" t="s">
        <v>555</v>
      </c>
      <c r="F63" t="s">
        <v>567</v>
      </c>
      <c r="G63">
        <v>6</v>
      </c>
      <c r="H63">
        <v>2465</v>
      </c>
      <c r="I63">
        <v>14790</v>
      </c>
      <c r="J63">
        <f t="shared" si="0"/>
        <v>14790</v>
      </c>
      <c r="K63" t="str">
        <f>IF(Table1[[#This Row],[Quantity]]*Table1[[#This Row],[Unit_Price]]=Table1[[#This Row],[Sales]],"Match","Mismatch")</f>
        <v>Match</v>
      </c>
      <c r="L63">
        <f>Table1[[#This Row],[Profit]]/Table1[[#This Row],[Sales]]*100</f>
        <v>100</v>
      </c>
    </row>
    <row r="64" spans="1:12" x14ac:dyDescent="0.25">
      <c r="A64" t="s">
        <v>72</v>
      </c>
      <c r="B64" s="1">
        <v>45522</v>
      </c>
      <c r="C64" t="s">
        <v>454</v>
      </c>
      <c r="D64" t="s">
        <v>551</v>
      </c>
      <c r="E64" t="s">
        <v>556</v>
      </c>
      <c r="F64" t="s">
        <v>563</v>
      </c>
      <c r="G64">
        <v>9</v>
      </c>
      <c r="H64">
        <v>1136</v>
      </c>
      <c r="I64">
        <v>10224</v>
      </c>
      <c r="J64">
        <f t="shared" si="0"/>
        <v>10224</v>
      </c>
      <c r="K64" t="str">
        <f>IF(Table1[[#This Row],[Quantity]]*Table1[[#This Row],[Unit_Price]]=Table1[[#This Row],[Sales]],"Match","Mismatch")</f>
        <v>Match</v>
      </c>
      <c r="L64">
        <f>Table1[[#This Row],[Profit]]/Table1[[#This Row],[Sales]]*100</f>
        <v>100</v>
      </c>
    </row>
    <row r="65" spans="1:12" x14ac:dyDescent="0.25">
      <c r="A65" t="s">
        <v>73</v>
      </c>
      <c r="B65" s="1">
        <v>45562</v>
      </c>
      <c r="C65" t="s">
        <v>420</v>
      </c>
      <c r="D65" t="s">
        <v>551</v>
      </c>
      <c r="E65" t="s">
        <v>555</v>
      </c>
      <c r="F65" t="s">
        <v>567</v>
      </c>
      <c r="G65">
        <v>1</v>
      </c>
      <c r="H65">
        <v>3000</v>
      </c>
      <c r="I65">
        <v>3000</v>
      </c>
      <c r="J65">
        <f t="shared" si="0"/>
        <v>3000</v>
      </c>
      <c r="K65" t="str">
        <f>IF(Table1[[#This Row],[Quantity]]*Table1[[#This Row],[Unit_Price]]=Table1[[#This Row],[Sales]],"Match","Mismatch")</f>
        <v>Match</v>
      </c>
      <c r="L65">
        <f>Table1[[#This Row],[Profit]]/Table1[[#This Row],[Sales]]*100</f>
        <v>100</v>
      </c>
    </row>
    <row r="66" spans="1:12" x14ac:dyDescent="0.25">
      <c r="A66" t="s">
        <v>74</v>
      </c>
      <c r="B66" s="1">
        <v>45596</v>
      </c>
      <c r="C66" t="s">
        <v>411</v>
      </c>
      <c r="D66" t="s">
        <v>549</v>
      </c>
      <c r="E66" t="s">
        <v>553</v>
      </c>
      <c r="F66" t="s">
        <v>557</v>
      </c>
      <c r="G66">
        <v>5</v>
      </c>
      <c r="H66">
        <v>2753</v>
      </c>
      <c r="I66">
        <v>13765</v>
      </c>
      <c r="J66">
        <f t="shared" si="0"/>
        <v>13765</v>
      </c>
      <c r="K66" t="str">
        <f>IF(Table1[[#This Row],[Quantity]]*Table1[[#This Row],[Unit_Price]]=Table1[[#This Row],[Sales]],"Match","Mismatch")</f>
        <v>Match</v>
      </c>
      <c r="L66">
        <f>Table1[[#This Row],[Profit]]/Table1[[#This Row],[Sales]]*100</f>
        <v>100</v>
      </c>
    </row>
    <row r="67" spans="1:12" x14ac:dyDescent="0.25">
      <c r="A67" t="s">
        <v>75</v>
      </c>
      <c r="B67" s="1">
        <v>45626</v>
      </c>
      <c r="C67" t="s">
        <v>468</v>
      </c>
      <c r="D67" t="s">
        <v>552</v>
      </c>
      <c r="E67" t="s">
        <v>554</v>
      </c>
      <c r="F67" t="s">
        <v>572</v>
      </c>
      <c r="G67">
        <v>7</v>
      </c>
      <c r="H67">
        <v>4045</v>
      </c>
      <c r="I67">
        <v>28315</v>
      </c>
      <c r="J67">
        <f t="shared" ref="J67:J130" si="1">IF(ISBLANK(I67),$J$2:$J$401,I67)</f>
        <v>28315</v>
      </c>
      <c r="K67" t="str">
        <f>IF(Table1[[#This Row],[Quantity]]*Table1[[#This Row],[Unit_Price]]=Table1[[#This Row],[Sales]],"Match","Mismatch")</f>
        <v>Match</v>
      </c>
      <c r="L67">
        <f>Table1[[#This Row],[Profit]]/Table1[[#This Row],[Sales]]*100</f>
        <v>100</v>
      </c>
    </row>
    <row r="68" spans="1:12" x14ac:dyDescent="0.25">
      <c r="A68" t="s">
        <v>76</v>
      </c>
      <c r="B68" s="1">
        <v>45445</v>
      </c>
      <c r="C68" t="s">
        <v>451</v>
      </c>
      <c r="D68" t="s">
        <v>550</v>
      </c>
      <c r="E68" t="s">
        <v>553</v>
      </c>
      <c r="F68" t="s">
        <v>576</v>
      </c>
      <c r="G68">
        <v>1</v>
      </c>
      <c r="H68">
        <v>1996</v>
      </c>
      <c r="I68">
        <v>1996</v>
      </c>
      <c r="J68">
        <f t="shared" si="1"/>
        <v>1996</v>
      </c>
      <c r="K68" t="str">
        <f>IF(Table1[[#This Row],[Quantity]]*Table1[[#This Row],[Unit_Price]]=Table1[[#This Row],[Sales]],"Match","Mismatch")</f>
        <v>Match</v>
      </c>
      <c r="L68">
        <f>Table1[[#This Row],[Profit]]/Table1[[#This Row],[Sales]]*100</f>
        <v>100</v>
      </c>
    </row>
    <row r="69" spans="1:12" x14ac:dyDescent="0.25">
      <c r="A69" t="s">
        <v>77</v>
      </c>
      <c r="B69" s="1">
        <v>45353</v>
      </c>
      <c r="C69" t="s">
        <v>469</v>
      </c>
      <c r="D69" t="s">
        <v>551</v>
      </c>
      <c r="E69" t="s">
        <v>555</v>
      </c>
      <c r="F69" t="s">
        <v>559</v>
      </c>
      <c r="G69">
        <v>4</v>
      </c>
      <c r="H69">
        <v>253</v>
      </c>
      <c r="I69">
        <v>1012</v>
      </c>
      <c r="J69">
        <f t="shared" si="1"/>
        <v>1012</v>
      </c>
      <c r="K69" t="str">
        <f>IF(Table1[[#This Row],[Quantity]]*Table1[[#This Row],[Unit_Price]]=Table1[[#This Row],[Sales]],"Match","Mismatch")</f>
        <v>Match</v>
      </c>
      <c r="L69">
        <f>Table1[[#This Row],[Profit]]/Table1[[#This Row],[Sales]]*100</f>
        <v>100</v>
      </c>
    </row>
    <row r="70" spans="1:12" x14ac:dyDescent="0.25">
      <c r="A70" t="s">
        <v>78</v>
      </c>
      <c r="B70" s="1">
        <v>45545</v>
      </c>
      <c r="C70" t="s">
        <v>470</v>
      </c>
      <c r="D70" t="s">
        <v>550</v>
      </c>
      <c r="E70" t="s">
        <v>555</v>
      </c>
      <c r="F70" t="s">
        <v>559</v>
      </c>
      <c r="G70">
        <v>6</v>
      </c>
      <c r="H70">
        <v>926</v>
      </c>
      <c r="I70">
        <v>5556</v>
      </c>
      <c r="J70">
        <f t="shared" si="1"/>
        <v>5556</v>
      </c>
      <c r="K70" t="str">
        <f>IF(Table1[[#This Row],[Quantity]]*Table1[[#This Row],[Unit_Price]]=Table1[[#This Row],[Sales]],"Match","Mismatch")</f>
        <v>Match</v>
      </c>
      <c r="L70">
        <f>Table1[[#This Row],[Profit]]/Table1[[#This Row],[Sales]]*100</f>
        <v>100</v>
      </c>
    </row>
    <row r="71" spans="1:12" x14ac:dyDescent="0.25">
      <c r="A71" t="s">
        <v>79</v>
      </c>
      <c r="B71" s="1">
        <v>45305</v>
      </c>
      <c r="C71" t="s">
        <v>471</v>
      </c>
      <c r="D71" t="s">
        <v>552</v>
      </c>
      <c r="E71" t="s">
        <v>553</v>
      </c>
      <c r="F71" t="s">
        <v>562</v>
      </c>
      <c r="G71">
        <v>2</v>
      </c>
      <c r="H71">
        <v>2936</v>
      </c>
      <c r="I71">
        <v>5872</v>
      </c>
      <c r="J71">
        <f t="shared" si="1"/>
        <v>5872</v>
      </c>
      <c r="K71" t="str">
        <f>IF(Table1[[#This Row],[Quantity]]*Table1[[#This Row],[Unit_Price]]=Table1[[#This Row],[Sales]],"Match","Mismatch")</f>
        <v>Match</v>
      </c>
      <c r="L71">
        <f>Table1[[#This Row],[Profit]]/Table1[[#This Row],[Sales]]*100</f>
        <v>100</v>
      </c>
    </row>
    <row r="72" spans="1:12" x14ac:dyDescent="0.25">
      <c r="A72" t="s">
        <v>80</v>
      </c>
      <c r="B72" s="1">
        <v>45340</v>
      </c>
      <c r="C72" t="s">
        <v>436</v>
      </c>
      <c r="D72" t="s">
        <v>552</v>
      </c>
      <c r="E72" t="s">
        <v>555</v>
      </c>
      <c r="F72" t="s">
        <v>570</v>
      </c>
      <c r="G72">
        <v>5</v>
      </c>
      <c r="H72">
        <v>3370</v>
      </c>
      <c r="I72">
        <v>16850</v>
      </c>
      <c r="J72">
        <f t="shared" si="1"/>
        <v>16850</v>
      </c>
      <c r="K72" t="str">
        <f>IF(Table1[[#This Row],[Quantity]]*Table1[[#This Row],[Unit_Price]]=Table1[[#This Row],[Sales]],"Match","Mismatch")</f>
        <v>Match</v>
      </c>
      <c r="L72">
        <f>Table1[[#This Row],[Profit]]/Table1[[#This Row],[Sales]]*100</f>
        <v>100</v>
      </c>
    </row>
    <row r="73" spans="1:12" x14ac:dyDescent="0.25">
      <c r="A73" t="s">
        <v>81</v>
      </c>
      <c r="B73" s="1">
        <v>45627</v>
      </c>
      <c r="C73" t="s">
        <v>472</v>
      </c>
      <c r="D73" t="s">
        <v>552</v>
      </c>
      <c r="E73" t="s">
        <v>553</v>
      </c>
      <c r="F73" t="s">
        <v>576</v>
      </c>
      <c r="G73">
        <v>1</v>
      </c>
      <c r="H73">
        <v>2113</v>
      </c>
      <c r="I73">
        <v>2113</v>
      </c>
      <c r="J73">
        <f t="shared" si="1"/>
        <v>2113</v>
      </c>
      <c r="K73" t="str">
        <f>IF(Table1[[#This Row],[Quantity]]*Table1[[#This Row],[Unit_Price]]=Table1[[#This Row],[Sales]],"Match","Mismatch")</f>
        <v>Match</v>
      </c>
      <c r="L73">
        <f>Table1[[#This Row],[Profit]]/Table1[[#This Row],[Sales]]*100</f>
        <v>100</v>
      </c>
    </row>
    <row r="74" spans="1:12" x14ac:dyDescent="0.25">
      <c r="A74" t="s">
        <v>82</v>
      </c>
      <c r="B74" s="1">
        <v>45341</v>
      </c>
      <c r="C74" t="s">
        <v>473</v>
      </c>
      <c r="D74" t="s">
        <v>551</v>
      </c>
      <c r="E74" t="s">
        <v>554</v>
      </c>
      <c r="F74" t="s">
        <v>573</v>
      </c>
      <c r="G74">
        <v>6</v>
      </c>
      <c r="H74">
        <v>1796</v>
      </c>
      <c r="I74">
        <v>10776</v>
      </c>
      <c r="J74">
        <f t="shared" si="1"/>
        <v>10776</v>
      </c>
      <c r="K74" t="str">
        <f>IF(Table1[[#This Row],[Quantity]]*Table1[[#This Row],[Unit_Price]]=Table1[[#This Row],[Sales]],"Match","Mismatch")</f>
        <v>Match</v>
      </c>
      <c r="L74">
        <f>Table1[[#This Row],[Profit]]/Table1[[#This Row],[Sales]]*100</f>
        <v>100</v>
      </c>
    </row>
    <row r="75" spans="1:12" x14ac:dyDescent="0.25">
      <c r="A75" t="s">
        <v>83</v>
      </c>
      <c r="B75" s="1">
        <v>45396</v>
      </c>
      <c r="C75" t="s">
        <v>474</v>
      </c>
      <c r="D75" t="s">
        <v>552</v>
      </c>
      <c r="E75" t="s">
        <v>553</v>
      </c>
      <c r="F75" t="s">
        <v>571</v>
      </c>
      <c r="G75">
        <v>6</v>
      </c>
      <c r="H75">
        <v>2114</v>
      </c>
      <c r="I75">
        <v>12684</v>
      </c>
      <c r="J75">
        <f t="shared" si="1"/>
        <v>12684</v>
      </c>
      <c r="K75" t="str">
        <f>IF(Table1[[#This Row],[Quantity]]*Table1[[#This Row],[Unit_Price]]=Table1[[#This Row],[Sales]],"Match","Mismatch")</f>
        <v>Match</v>
      </c>
      <c r="L75">
        <f>Table1[[#This Row],[Profit]]/Table1[[#This Row],[Sales]]*100</f>
        <v>100</v>
      </c>
    </row>
    <row r="76" spans="1:12" x14ac:dyDescent="0.25">
      <c r="A76" t="s">
        <v>84</v>
      </c>
      <c r="B76" s="1">
        <v>45647</v>
      </c>
      <c r="C76" t="s">
        <v>475</v>
      </c>
      <c r="D76" t="s">
        <v>551</v>
      </c>
      <c r="E76" t="s">
        <v>554</v>
      </c>
      <c r="F76" t="s">
        <v>574</v>
      </c>
      <c r="G76">
        <v>4</v>
      </c>
      <c r="H76">
        <v>2666</v>
      </c>
      <c r="I76">
        <v>10664</v>
      </c>
      <c r="J76">
        <f t="shared" si="1"/>
        <v>10664</v>
      </c>
      <c r="K76" t="str">
        <f>IF(Table1[[#This Row],[Quantity]]*Table1[[#This Row],[Unit_Price]]=Table1[[#This Row],[Sales]],"Match","Mismatch")</f>
        <v>Match</v>
      </c>
      <c r="L76">
        <f>Table1[[#This Row],[Profit]]/Table1[[#This Row],[Sales]]*100</f>
        <v>100</v>
      </c>
    </row>
    <row r="77" spans="1:12" x14ac:dyDescent="0.25">
      <c r="A77" t="s">
        <v>85</v>
      </c>
      <c r="B77" s="1">
        <v>45450</v>
      </c>
      <c r="C77" t="s">
        <v>416</v>
      </c>
      <c r="D77" t="s">
        <v>552</v>
      </c>
      <c r="E77" t="s">
        <v>553</v>
      </c>
      <c r="F77" t="s">
        <v>562</v>
      </c>
      <c r="G77">
        <v>8</v>
      </c>
      <c r="H77">
        <v>2937</v>
      </c>
      <c r="I77">
        <v>23496</v>
      </c>
      <c r="J77">
        <f t="shared" si="1"/>
        <v>23496</v>
      </c>
      <c r="K77" t="str">
        <f>IF(Table1[[#This Row],[Quantity]]*Table1[[#This Row],[Unit_Price]]=Table1[[#This Row],[Sales]],"Match","Mismatch")</f>
        <v>Match</v>
      </c>
      <c r="L77">
        <f>Table1[[#This Row],[Profit]]/Table1[[#This Row],[Sales]]*100</f>
        <v>100</v>
      </c>
    </row>
    <row r="78" spans="1:12" x14ac:dyDescent="0.25">
      <c r="A78" t="s">
        <v>86</v>
      </c>
      <c r="B78" s="1">
        <v>45580</v>
      </c>
      <c r="C78" t="s">
        <v>476</v>
      </c>
      <c r="D78" t="s">
        <v>550</v>
      </c>
      <c r="E78" t="s">
        <v>555</v>
      </c>
      <c r="F78" t="s">
        <v>566</v>
      </c>
      <c r="G78">
        <v>4</v>
      </c>
      <c r="H78">
        <v>1049</v>
      </c>
      <c r="I78">
        <v>4196</v>
      </c>
      <c r="J78">
        <f t="shared" si="1"/>
        <v>4196</v>
      </c>
      <c r="K78" t="str">
        <f>IF(Table1[[#This Row],[Quantity]]*Table1[[#This Row],[Unit_Price]]=Table1[[#This Row],[Sales]],"Match","Mismatch")</f>
        <v>Match</v>
      </c>
      <c r="L78">
        <f>Table1[[#This Row],[Profit]]/Table1[[#This Row],[Sales]]*100</f>
        <v>100</v>
      </c>
    </row>
    <row r="79" spans="1:12" x14ac:dyDescent="0.25">
      <c r="A79" t="s">
        <v>87</v>
      </c>
      <c r="B79" s="1">
        <v>45414</v>
      </c>
      <c r="C79" t="s">
        <v>477</v>
      </c>
      <c r="D79" t="s">
        <v>550</v>
      </c>
      <c r="E79" t="s">
        <v>553</v>
      </c>
      <c r="F79" t="s">
        <v>560</v>
      </c>
      <c r="G79">
        <v>8</v>
      </c>
      <c r="H79">
        <v>2309</v>
      </c>
      <c r="I79">
        <v>18472</v>
      </c>
      <c r="J79">
        <f t="shared" si="1"/>
        <v>18472</v>
      </c>
      <c r="K79" t="str">
        <f>IF(Table1[[#This Row],[Quantity]]*Table1[[#This Row],[Unit_Price]]=Table1[[#This Row],[Sales]],"Match","Mismatch")</f>
        <v>Match</v>
      </c>
      <c r="L79">
        <f>Table1[[#This Row],[Profit]]/Table1[[#This Row],[Sales]]*100</f>
        <v>100</v>
      </c>
    </row>
    <row r="80" spans="1:12" x14ac:dyDescent="0.25">
      <c r="A80" t="s">
        <v>88</v>
      </c>
      <c r="B80" s="1">
        <v>45617</v>
      </c>
      <c r="C80" t="s">
        <v>478</v>
      </c>
      <c r="D80" t="s">
        <v>549</v>
      </c>
      <c r="E80" t="s">
        <v>555</v>
      </c>
      <c r="F80" t="s">
        <v>570</v>
      </c>
      <c r="G80">
        <v>8</v>
      </c>
      <c r="H80">
        <v>202</v>
      </c>
      <c r="I80">
        <v>1616</v>
      </c>
      <c r="J80">
        <f t="shared" si="1"/>
        <v>1616</v>
      </c>
      <c r="K80" t="str">
        <f>IF(Table1[[#This Row],[Quantity]]*Table1[[#This Row],[Unit_Price]]=Table1[[#This Row],[Sales]],"Match","Mismatch")</f>
        <v>Match</v>
      </c>
      <c r="L80">
        <f>Table1[[#This Row],[Profit]]/Table1[[#This Row],[Sales]]*100</f>
        <v>100</v>
      </c>
    </row>
    <row r="81" spans="1:12" x14ac:dyDescent="0.25">
      <c r="A81" t="s">
        <v>89</v>
      </c>
      <c r="B81" s="1">
        <v>45297</v>
      </c>
      <c r="C81" t="s">
        <v>479</v>
      </c>
      <c r="D81" t="s">
        <v>550</v>
      </c>
      <c r="E81" t="s">
        <v>553</v>
      </c>
      <c r="F81" t="s">
        <v>571</v>
      </c>
      <c r="G81">
        <v>5</v>
      </c>
      <c r="H81">
        <v>4455</v>
      </c>
      <c r="I81">
        <v>22275</v>
      </c>
      <c r="J81">
        <f t="shared" si="1"/>
        <v>22275</v>
      </c>
      <c r="K81" t="str">
        <f>IF(Table1[[#This Row],[Quantity]]*Table1[[#This Row],[Unit_Price]]=Table1[[#This Row],[Sales]],"Match","Mismatch")</f>
        <v>Match</v>
      </c>
      <c r="L81">
        <f>Table1[[#This Row],[Profit]]/Table1[[#This Row],[Sales]]*100</f>
        <v>100</v>
      </c>
    </row>
    <row r="82" spans="1:12" x14ac:dyDescent="0.25">
      <c r="A82" t="s">
        <v>90</v>
      </c>
      <c r="B82" s="1">
        <v>45435</v>
      </c>
      <c r="C82" t="s">
        <v>446</v>
      </c>
      <c r="D82" t="s">
        <v>549</v>
      </c>
      <c r="E82" t="s">
        <v>553</v>
      </c>
      <c r="F82" t="s">
        <v>576</v>
      </c>
      <c r="G82">
        <v>4</v>
      </c>
      <c r="H82">
        <v>4269</v>
      </c>
      <c r="I82">
        <v>17076</v>
      </c>
      <c r="J82">
        <f t="shared" si="1"/>
        <v>17076</v>
      </c>
      <c r="K82" t="str">
        <f>IF(Table1[[#This Row],[Quantity]]*Table1[[#This Row],[Unit_Price]]=Table1[[#This Row],[Sales]],"Match","Mismatch")</f>
        <v>Match</v>
      </c>
      <c r="L82">
        <f>Table1[[#This Row],[Profit]]/Table1[[#This Row],[Sales]]*100</f>
        <v>100</v>
      </c>
    </row>
    <row r="83" spans="1:12" x14ac:dyDescent="0.25">
      <c r="A83" t="s">
        <v>91</v>
      </c>
      <c r="B83" s="1">
        <v>45551</v>
      </c>
      <c r="C83" t="s">
        <v>429</v>
      </c>
      <c r="D83" t="s">
        <v>550</v>
      </c>
      <c r="E83" t="s">
        <v>556</v>
      </c>
      <c r="F83" t="s">
        <v>568</v>
      </c>
      <c r="G83">
        <v>2</v>
      </c>
      <c r="H83">
        <v>1092</v>
      </c>
      <c r="I83">
        <v>2184</v>
      </c>
      <c r="J83">
        <f t="shared" si="1"/>
        <v>2184</v>
      </c>
      <c r="K83" t="str">
        <f>IF(Table1[[#This Row],[Quantity]]*Table1[[#This Row],[Unit_Price]]=Table1[[#This Row],[Sales]],"Match","Mismatch")</f>
        <v>Match</v>
      </c>
      <c r="L83">
        <f>Table1[[#This Row],[Profit]]/Table1[[#This Row],[Sales]]*100</f>
        <v>100</v>
      </c>
    </row>
    <row r="84" spans="1:12" x14ac:dyDescent="0.25">
      <c r="A84" t="s">
        <v>92</v>
      </c>
      <c r="B84" s="1">
        <v>45359</v>
      </c>
      <c r="C84" t="s">
        <v>418</v>
      </c>
      <c r="D84" t="s">
        <v>551</v>
      </c>
      <c r="E84" t="s">
        <v>555</v>
      </c>
      <c r="F84" t="s">
        <v>559</v>
      </c>
      <c r="G84">
        <v>3</v>
      </c>
      <c r="H84">
        <v>2230</v>
      </c>
      <c r="I84">
        <v>6690</v>
      </c>
      <c r="J84">
        <f t="shared" si="1"/>
        <v>6690</v>
      </c>
      <c r="K84" t="str">
        <f>IF(Table1[[#This Row],[Quantity]]*Table1[[#This Row],[Unit_Price]]=Table1[[#This Row],[Sales]],"Match","Mismatch")</f>
        <v>Match</v>
      </c>
      <c r="L84">
        <f>Table1[[#This Row],[Profit]]/Table1[[#This Row],[Sales]]*100</f>
        <v>100</v>
      </c>
    </row>
    <row r="85" spans="1:12" x14ac:dyDescent="0.25">
      <c r="A85" t="s">
        <v>93</v>
      </c>
      <c r="B85" s="1">
        <v>45322</v>
      </c>
      <c r="C85" t="s">
        <v>480</v>
      </c>
      <c r="D85" t="s">
        <v>550</v>
      </c>
      <c r="E85" t="s">
        <v>556</v>
      </c>
      <c r="F85" t="s">
        <v>563</v>
      </c>
      <c r="G85">
        <v>3</v>
      </c>
      <c r="H85">
        <v>3360</v>
      </c>
      <c r="I85">
        <v>10080</v>
      </c>
      <c r="J85">
        <f t="shared" si="1"/>
        <v>10080</v>
      </c>
      <c r="K85" t="str">
        <f>IF(Table1[[#This Row],[Quantity]]*Table1[[#This Row],[Unit_Price]]=Table1[[#This Row],[Sales]],"Match","Mismatch")</f>
        <v>Match</v>
      </c>
      <c r="L85">
        <f>Table1[[#This Row],[Profit]]/Table1[[#This Row],[Sales]]*100</f>
        <v>100</v>
      </c>
    </row>
    <row r="86" spans="1:12" x14ac:dyDescent="0.25">
      <c r="A86" t="s">
        <v>94</v>
      </c>
      <c r="B86" s="1">
        <v>45457</v>
      </c>
      <c r="C86" t="s">
        <v>481</v>
      </c>
      <c r="D86" t="s">
        <v>549</v>
      </c>
      <c r="E86" t="s">
        <v>555</v>
      </c>
      <c r="F86" t="s">
        <v>570</v>
      </c>
      <c r="G86">
        <v>4</v>
      </c>
      <c r="H86">
        <v>2576</v>
      </c>
      <c r="I86">
        <v>10304</v>
      </c>
      <c r="J86">
        <f t="shared" si="1"/>
        <v>10304</v>
      </c>
      <c r="K86" t="str">
        <f>IF(Table1[[#This Row],[Quantity]]*Table1[[#This Row],[Unit_Price]]=Table1[[#This Row],[Sales]],"Match","Mismatch")</f>
        <v>Match</v>
      </c>
      <c r="L86">
        <f>Table1[[#This Row],[Profit]]/Table1[[#This Row],[Sales]]*100</f>
        <v>100</v>
      </c>
    </row>
    <row r="87" spans="1:12" x14ac:dyDescent="0.25">
      <c r="A87" t="s">
        <v>95</v>
      </c>
      <c r="B87" s="1">
        <v>45568</v>
      </c>
      <c r="C87" t="s">
        <v>480</v>
      </c>
      <c r="D87" t="s">
        <v>549</v>
      </c>
      <c r="E87" t="s">
        <v>556</v>
      </c>
      <c r="F87" t="s">
        <v>565</v>
      </c>
      <c r="G87">
        <v>4</v>
      </c>
      <c r="H87">
        <v>4875</v>
      </c>
      <c r="I87">
        <v>19500</v>
      </c>
      <c r="J87">
        <f t="shared" si="1"/>
        <v>19500</v>
      </c>
      <c r="K87" t="str">
        <f>IF(Table1[[#This Row],[Quantity]]*Table1[[#This Row],[Unit_Price]]=Table1[[#This Row],[Sales]],"Match","Mismatch")</f>
        <v>Match</v>
      </c>
      <c r="L87">
        <f>Table1[[#This Row],[Profit]]/Table1[[#This Row],[Sales]]*100</f>
        <v>100</v>
      </c>
    </row>
    <row r="88" spans="1:12" x14ac:dyDescent="0.25">
      <c r="A88" t="s">
        <v>96</v>
      </c>
      <c r="B88" s="1">
        <v>45480</v>
      </c>
      <c r="C88" t="s">
        <v>432</v>
      </c>
      <c r="D88" t="s">
        <v>552</v>
      </c>
      <c r="E88" t="s">
        <v>554</v>
      </c>
      <c r="F88" t="s">
        <v>558</v>
      </c>
      <c r="G88">
        <v>5</v>
      </c>
      <c r="H88">
        <v>2133</v>
      </c>
      <c r="I88">
        <v>10665</v>
      </c>
      <c r="J88">
        <f t="shared" si="1"/>
        <v>10665</v>
      </c>
      <c r="K88" t="str">
        <f>IF(Table1[[#This Row],[Quantity]]*Table1[[#This Row],[Unit_Price]]=Table1[[#This Row],[Sales]],"Match","Mismatch")</f>
        <v>Match</v>
      </c>
      <c r="L88">
        <f>Table1[[#This Row],[Profit]]/Table1[[#This Row],[Sales]]*100</f>
        <v>100</v>
      </c>
    </row>
    <row r="89" spans="1:12" x14ac:dyDescent="0.25">
      <c r="A89" t="s">
        <v>97</v>
      </c>
      <c r="B89" s="1">
        <v>45352</v>
      </c>
      <c r="C89" t="s">
        <v>482</v>
      </c>
      <c r="D89" t="s">
        <v>551</v>
      </c>
      <c r="E89" t="s">
        <v>553</v>
      </c>
      <c r="F89" t="s">
        <v>562</v>
      </c>
      <c r="G89">
        <v>4</v>
      </c>
      <c r="H89">
        <v>1580</v>
      </c>
      <c r="I89">
        <v>6320</v>
      </c>
      <c r="J89">
        <f t="shared" si="1"/>
        <v>6320</v>
      </c>
      <c r="K89" t="str">
        <f>IF(Table1[[#This Row],[Quantity]]*Table1[[#This Row],[Unit_Price]]=Table1[[#This Row],[Sales]],"Match","Mismatch")</f>
        <v>Match</v>
      </c>
      <c r="L89">
        <f>Table1[[#This Row],[Profit]]/Table1[[#This Row],[Sales]]*100</f>
        <v>100</v>
      </c>
    </row>
    <row r="90" spans="1:12" x14ac:dyDescent="0.25">
      <c r="A90" t="s">
        <v>98</v>
      </c>
      <c r="B90" s="1">
        <v>45524</v>
      </c>
      <c r="C90" t="s">
        <v>434</v>
      </c>
      <c r="D90" t="s">
        <v>550</v>
      </c>
      <c r="E90" t="s">
        <v>555</v>
      </c>
      <c r="F90" t="s">
        <v>570</v>
      </c>
      <c r="G90">
        <v>8</v>
      </c>
      <c r="H90">
        <v>3881</v>
      </c>
      <c r="I90">
        <v>31048</v>
      </c>
      <c r="J90">
        <f t="shared" si="1"/>
        <v>31048</v>
      </c>
      <c r="K90" t="str">
        <f>IF(Table1[[#This Row],[Quantity]]*Table1[[#This Row],[Unit_Price]]=Table1[[#This Row],[Sales]],"Match","Mismatch")</f>
        <v>Match</v>
      </c>
      <c r="L90">
        <f>Table1[[#This Row],[Profit]]/Table1[[#This Row],[Sales]]*100</f>
        <v>100</v>
      </c>
    </row>
    <row r="91" spans="1:12" x14ac:dyDescent="0.25">
      <c r="A91" t="s">
        <v>99</v>
      </c>
      <c r="B91" s="1">
        <v>45517</v>
      </c>
      <c r="C91" t="s">
        <v>470</v>
      </c>
      <c r="D91" t="s">
        <v>552</v>
      </c>
      <c r="E91" t="s">
        <v>555</v>
      </c>
      <c r="F91" t="s">
        <v>559</v>
      </c>
      <c r="G91">
        <v>6</v>
      </c>
      <c r="H91">
        <v>1490</v>
      </c>
      <c r="I91">
        <v>8940</v>
      </c>
      <c r="J91">
        <f t="shared" si="1"/>
        <v>8940</v>
      </c>
      <c r="K91" t="str">
        <f>IF(Table1[[#This Row],[Quantity]]*Table1[[#This Row],[Unit_Price]]=Table1[[#This Row],[Sales]],"Match","Mismatch")</f>
        <v>Match</v>
      </c>
      <c r="L91">
        <f>Table1[[#This Row],[Profit]]/Table1[[#This Row],[Sales]]*100</f>
        <v>100</v>
      </c>
    </row>
    <row r="92" spans="1:12" x14ac:dyDescent="0.25">
      <c r="A92" t="s">
        <v>100</v>
      </c>
      <c r="B92" s="1">
        <v>45480</v>
      </c>
      <c r="C92" t="s">
        <v>483</v>
      </c>
      <c r="D92" t="s">
        <v>550</v>
      </c>
      <c r="E92" t="s">
        <v>553</v>
      </c>
      <c r="F92" t="s">
        <v>557</v>
      </c>
      <c r="G92">
        <v>6</v>
      </c>
      <c r="H92">
        <v>1840</v>
      </c>
      <c r="I92">
        <v>11040</v>
      </c>
      <c r="J92">
        <f t="shared" si="1"/>
        <v>11040</v>
      </c>
      <c r="K92" t="str">
        <f>IF(Table1[[#This Row],[Quantity]]*Table1[[#This Row],[Unit_Price]]=Table1[[#This Row],[Sales]],"Match","Mismatch")</f>
        <v>Match</v>
      </c>
      <c r="L92">
        <f>Table1[[#This Row],[Profit]]/Table1[[#This Row],[Sales]]*100</f>
        <v>100</v>
      </c>
    </row>
    <row r="93" spans="1:12" x14ac:dyDescent="0.25">
      <c r="A93" t="s">
        <v>101</v>
      </c>
      <c r="B93" s="1">
        <v>45416</v>
      </c>
      <c r="C93" t="s">
        <v>420</v>
      </c>
      <c r="D93" t="s">
        <v>550</v>
      </c>
      <c r="E93" t="s">
        <v>555</v>
      </c>
      <c r="F93" t="s">
        <v>559</v>
      </c>
      <c r="G93">
        <v>8</v>
      </c>
      <c r="H93">
        <v>2882</v>
      </c>
      <c r="I93">
        <v>23056</v>
      </c>
      <c r="J93">
        <f t="shared" si="1"/>
        <v>23056</v>
      </c>
      <c r="K93" t="str">
        <f>IF(Table1[[#This Row],[Quantity]]*Table1[[#This Row],[Unit_Price]]=Table1[[#This Row],[Sales]],"Match","Mismatch")</f>
        <v>Match</v>
      </c>
      <c r="L93">
        <f>Table1[[#This Row],[Profit]]/Table1[[#This Row],[Sales]]*100</f>
        <v>100</v>
      </c>
    </row>
    <row r="94" spans="1:12" x14ac:dyDescent="0.25">
      <c r="A94" t="s">
        <v>102</v>
      </c>
      <c r="B94" s="1">
        <v>45629</v>
      </c>
      <c r="C94" t="s">
        <v>484</v>
      </c>
      <c r="D94" t="s">
        <v>552</v>
      </c>
      <c r="E94" t="s">
        <v>555</v>
      </c>
      <c r="F94" t="s">
        <v>567</v>
      </c>
      <c r="G94">
        <v>7</v>
      </c>
      <c r="H94">
        <v>1187</v>
      </c>
      <c r="I94">
        <v>8309</v>
      </c>
      <c r="J94">
        <f t="shared" si="1"/>
        <v>8309</v>
      </c>
      <c r="K94" t="str">
        <f>IF(Table1[[#This Row],[Quantity]]*Table1[[#This Row],[Unit_Price]]=Table1[[#This Row],[Sales]],"Match","Mismatch")</f>
        <v>Match</v>
      </c>
      <c r="L94">
        <f>Table1[[#This Row],[Profit]]/Table1[[#This Row],[Sales]]*100</f>
        <v>100</v>
      </c>
    </row>
    <row r="95" spans="1:12" x14ac:dyDescent="0.25">
      <c r="A95" t="s">
        <v>103</v>
      </c>
      <c r="B95" s="1">
        <v>45492</v>
      </c>
      <c r="C95" t="s">
        <v>479</v>
      </c>
      <c r="D95" t="s">
        <v>552</v>
      </c>
      <c r="E95" t="s">
        <v>556</v>
      </c>
      <c r="F95" t="s">
        <v>565</v>
      </c>
      <c r="G95">
        <v>8</v>
      </c>
      <c r="H95">
        <v>1418</v>
      </c>
      <c r="I95">
        <v>11344</v>
      </c>
      <c r="J95">
        <f t="shared" si="1"/>
        <v>11344</v>
      </c>
      <c r="K95" t="str">
        <f>IF(Table1[[#This Row],[Quantity]]*Table1[[#This Row],[Unit_Price]]=Table1[[#This Row],[Sales]],"Match","Mismatch")</f>
        <v>Match</v>
      </c>
      <c r="L95">
        <f>Table1[[#This Row],[Profit]]/Table1[[#This Row],[Sales]]*100</f>
        <v>100</v>
      </c>
    </row>
    <row r="96" spans="1:12" x14ac:dyDescent="0.25">
      <c r="A96" t="s">
        <v>104</v>
      </c>
      <c r="B96" s="1">
        <v>45348</v>
      </c>
      <c r="C96" t="s">
        <v>485</v>
      </c>
      <c r="D96" t="s">
        <v>552</v>
      </c>
      <c r="E96" t="s">
        <v>555</v>
      </c>
      <c r="F96" t="s">
        <v>567</v>
      </c>
      <c r="G96">
        <v>2</v>
      </c>
      <c r="H96">
        <v>1555</v>
      </c>
      <c r="I96">
        <v>3110</v>
      </c>
      <c r="J96">
        <f t="shared" si="1"/>
        <v>3110</v>
      </c>
      <c r="K96" t="str">
        <f>IF(Table1[[#This Row],[Quantity]]*Table1[[#This Row],[Unit_Price]]=Table1[[#This Row],[Sales]],"Match","Mismatch")</f>
        <v>Match</v>
      </c>
      <c r="L96">
        <f>Table1[[#This Row],[Profit]]/Table1[[#This Row],[Sales]]*100</f>
        <v>100</v>
      </c>
    </row>
    <row r="97" spans="1:12" x14ac:dyDescent="0.25">
      <c r="A97" t="s">
        <v>105</v>
      </c>
      <c r="B97" s="1">
        <v>45558</v>
      </c>
      <c r="C97" t="s">
        <v>412</v>
      </c>
      <c r="D97" t="s">
        <v>552</v>
      </c>
      <c r="E97" t="s">
        <v>554</v>
      </c>
      <c r="F97" t="s">
        <v>572</v>
      </c>
      <c r="G97">
        <v>9</v>
      </c>
      <c r="H97">
        <v>4465</v>
      </c>
      <c r="I97">
        <v>40185</v>
      </c>
      <c r="J97">
        <f t="shared" si="1"/>
        <v>40185</v>
      </c>
      <c r="K97" t="str">
        <f>IF(Table1[[#This Row],[Quantity]]*Table1[[#This Row],[Unit_Price]]=Table1[[#This Row],[Sales]],"Match","Mismatch")</f>
        <v>Match</v>
      </c>
      <c r="L97">
        <f>Table1[[#This Row],[Profit]]/Table1[[#This Row],[Sales]]*100</f>
        <v>100</v>
      </c>
    </row>
    <row r="98" spans="1:12" x14ac:dyDescent="0.25">
      <c r="A98" t="s">
        <v>106</v>
      </c>
      <c r="B98" s="1">
        <v>45432</v>
      </c>
      <c r="C98" t="s">
        <v>435</v>
      </c>
      <c r="D98" t="s">
        <v>552</v>
      </c>
      <c r="E98" t="s">
        <v>554</v>
      </c>
      <c r="F98" t="s">
        <v>574</v>
      </c>
      <c r="G98">
        <v>1</v>
      </c>
      <c r="H98">
        <v>4816</v>
      </c>
      <c r="I98">
        <v>4816</v>
      </c>
      <c r="J98">
        <f t="shared" si="1"/>
        <v>4816</v>
      </c>
      <c r="K98" t="str">
        <f>IF(Table1[[#This Row],[Quantity]]*Table1[[#This Row],[Unit_Price]]=Table1[[#This Row],[Sales]],"Match","Mismatch")</f>
        <v>Match</v>
      </c>
      <c r="L98">
        <f>Table1[[#This Row],[Profit]]/Table1[[#This Row],[Sales]]*100</f>
        <v>100</v>
      </c>
    </row>
    <row r="99" spans="1:12" x14ac:dyDescent="0.25">
      <c r="A99" t="s">
        <v>107</v>
      </c>
      <c r="B99" s="1">
        <v>45540</v>
      </c>
      <c r="C99" t="s">
        <v>486</v>
      </c>
      <c r="D99" t="s">
        <v>550</v>
      </c>
      <c r="E99" t="s">
        <v>553</v>
      </c>
      <c r="F99" t="s">
        <v>576</v>
      </c>
      <c r="G99">
        <v>8</v>
      </c>
      <c r="H99">
        <v>4335</v>
      </c>
      <c r="I99">
        <v>34680</v>
      </c>
      <c r="J99">
        <f t="shared" si="1"/>
        <v>34680</v>
      </c>
      <c r="K99" t="str">
        <f>IF(Table1[[#This Row],[Quantity]]*Table1[[#This Row],[Unit_Price]]=Table1[[#This Row],[Sales]],"Match","Mismatch")</f>
        <v>Match</v>
      </c>
      <c r="L99">
        <f>Table1[[#This Row],[Profit]]/Table1[[#This Row],[Sales]]*100</f>
        <v>100</v>
      </c>
    </row>
    <row r="100" spans="1:12" x14ac:dyDescent="0.25">
      <c r="A100" t="s">
        <v>108</v>
      </c>
      <c r="B100" s="1">
        <v>45490</v>
      </c>
      <c r="C100" t="s">
        <v>439</v>
      </c>
      <c r="D100" t="s">
        <v>552</v>
      </c>
      <c r="E100" t="s">
        <v>555</v>
      </c>
      <c r="F100" t="s">
        <v>570</v>
      </c>
      <c r="G100">
        <v>4</v>
      </c>
      <c r="H100">
        <v>1760</v>
      </c>
      <c r="I100">
        <v>7040</v>
      </c>
      <c r="J100">
        <f t="shared" si="1"/>
        <v>7040</v>
      </c>
      <c r="K100" t="str">
        <f>IF(Table1[[#This Row],[Quantity]]*Table1[[#This Row],[Unit_Price]]=Table1[[#This Row],[Sales]],"Match","Mismatch")</f>
        <v>Match</v>
      </c>
      <c r="L100">
        <f>Table1[[#This Row],[Profit]]/Table1[[#This Row],[Sales]]*100</f>
        <v>100</v>
      </c>
    </row>
    <row r="101" spans="1:12" x14ac:dyDescent="0.25">
      <c r="A101" t="s">
        <v>109</v>
      </c>
      <c r="B101" s="1">
        <v>45531</v>
      </c>
      <c r="C101" t="s">
        <v>487</v>
      </c>
      <c r="D101" t="s">
        <v>551</v>
      </c>
      <c r="E101" t="s">
        <v>553</v>
      </c>
      <c r="F101" t="s">
        <v>560</v>
      </c>
      <c r="G101">
        <v>4</v>
      </c>
      <c r="H101">
        <v>1618</v>
      </c>
      <c r="I101">
        <v>6472</v>
      </c>
      <c r="J101">
        <f t="shared" si="1"/>
        <v>6472</v>
      </c>
      <c r="K101" t="str">
        <f>IF(Table1[[#This Row],[Quantity]]*Table1[[#This Row],[Unit_Price]]=Table1[[#This Row],[Sales]],"Match","Mismatch")</f>
        <v>Match</v>
      </c>
      <c r="L101">
        <f>Table1[[#This Row],[Profit]]/Table1[[#This Row],[Sales]]*100</f>
        <v>100</v>
      </c>
    </row>
    <row r="102" spans="1:12" x14ac:dyDescent="0.25">
      <c r="A102" t="s">
        <v>110</v>
      </c>
      <c r="B102" s="1">
        <v>45467</v>
      </c>
      <c r="C102" t="s">
        <v>460</v>
      </c>
      <c r="D102" t="s">
        <v>549</v>
      </c>
      <c r="E102" t="s">
        <v>554</v>
      </c>
      <c r="F102" t="s">
        <v>572</v>
      </c>
      <c r="G102">
        <v>5</v>
      </c>
      <c r="H102">
        <v>1154</v>
      </c>
      <c r="I102">
        <v>5770</v>
      </c>
      <c r="J102">
        <f t="shared" si="1"/>
        <v>5770</v>
      </c>
      <c r="K102" t="str">
        <f>IF(Table1[[#This Row],[Quantity]]*Table1[[#This Row],[Unit_Price]]=Table1[[#This Row],[Sales]],"Match","Mismatch")</f>
        <v>Match</v>
      </c>
      <c r="L102">
        <f>Table1[[#This Row],[Profit]]/Table1[[#This Row],[Sales]]*100</f>
        <v>100</v>
      </c>
    </row>
    <row r="103" spans="1:12" x14ac:dyDescent="0.25">
      <c r="A103" t="s">
        <v>111</v>
      </c>
      <c r="B103" s="1">
        <v>45626</v>
      </c>
      <c r="C103" t="s">
        <v>488</v>
      </c>
      <c r="D103" t="s">
        <v>552</v>
      </c>
      <c r="E103" t="s">
        <v>555</v>
      </c>
      <c r="F103" t="s">
        <v>570</v>
      </c>
      <c r="G103">
        <v>8</v>
      </c>
      <c r="H103">
        <v>1183</v>
      </c>
      <c r="I103">
        <v>9464</v>
      </c>
      <c r="J103">
        <f t="shared" si="1"/>
        <v>9464</v>
      </c>
      <c r="K103" t="str">
        <f>IF(Table1[[#This Row],[Quantity]]*Table1[[#This Row],[Unit_Price]]=Table1[[#This Row],[Sales]],"Match","Mismatch")</f>
        <v>Match</v>
      </c>
      <c r="L103">
        <f>Table1[[#This Row],[Profit]]/Table1[[#This Row],[Sales]]*100</f>
        <v>100</v>
      </c>
    </row>
    <row r="104" spans="1:12" x14ac:dyDescent="0.25">
      <c r="A104" t="s">
        <v>112</v>
      </c>
      <c r="B104" s="1">
        <v>45359</v>
      </c>
      <c r="C104" t="s">
        <v>432</v>
      </c>
      <c r="D104" t="s">
        <v>552</v>
      </c>
      <c r="E104" t="s">
        <v>555</v>
      </c>
      <c r="F104" t="s">
        <v>570</v>
      </c>
      <c r="G104">
        <v>5</v>
      </c>
      <c r="H104">
        <v>1174</v>
      </c>
      <c r="I104">
        <v>5870</v>
      </c>
      <c r="J104">
        <f t="shared" si="1"/>
        <v>5870</v>
      </c>
      <c r="K104" t="str">
        <f>IF(Table1[[#This Row],[Quantity]]*Table1[[#This Row],[Unit_Price]]=Table1[[#This Row],[Sales]],"Match","Mismatch")</f>
        <v>Match</v>
      </c>
      <c r="L104">
        <f>Table1[[#This Row],[Profit]]/Table1[[#This Row],[Sales]]*100</f>
        <v>100</v>
      </c>
    </row>
    <row r="105" spans="1:12" x14ac:dyDescent="0.25">
      <c r="A105" t="s">
        <v>113</v>
      </c>
      <c r="B105" s="1">
        <v>45416</v>
      </c>
      <c r="C105" t="s">
        <v>447</v>
      </c>
      <c r="D105" t="s">
        <v>550</v>
      </c>
      <c r="E105" t="s">
        <v>553</v>
      </c>
      <c r="F105" t="s">
        <v>562</v>
      </c>
      <c r="G105">
        <v>8</v>
      </c>
      <c r="H105">
        <v>4333</v>
      </c>
      <c r="I105">
        <v>34664</v>
      </c>
      <c r="J105">
        <f t="shared" si="1"/>
        <v>34664</v>
      </c>
      <c r="K105" t="str">
        <f>IF(Table1[[#This Row],[Quantity]]*Table1[[#This Row],[Unit_Price]]=Table1[[#This Row],[Sales]],"Match","Mismatch")</f>
        <v>Match</v>
      </c>
      <c r="L105">
        <f>Table1[[#This Row],[Profit]]/Table1[[#This Row],[Sales]]*100</f>
        <v>100</v>
      </c>
    </row>
    <row r="106" spans="1:12" x14ac:dyDescent="0.25">
      <c r="A106" t="s">
        <v>114</v>
      </c>
      <c r="B106" s="1">
        <v>45547</v>
      </c>
      <c r="C106" t="s">
        <v>489</v>
      </c>
      <c r="D106" t="s">
        <v>552</v>
      </c>
      <c r="E106" t="s">
        <v>554</v>
      </c>
      <c r="F106" t="s">
        <v>564</v>
      </c>
      <c r="G106">
        <v>1</v>
      </c>
      <c r="H106">
        <v>4172</v>
      </c>
      <c r="I106">
        <v>4172</v>
      </c>
      <c r="J106">
        <f t="shared" si="1"/>
        <v>4172</v>
      </c>
      <c r="K106" t="str">
        <f>IF(Table1[[#This Row],[Quantity]]*Table1[[#This Row],[Unit_Price]]=Table1[[#This Row],[Sales]],"Match","Mismatch")</f>
        <v>Match</v>
      </c>
      <c r="L106">
        <f>Table1[[#This Row],[Profit]]/Table1[[#This Row],[Sales]]*100</f>
        <v>100</v>
      </c>
    </row>
    <row r="107" spans="1:12" x14ac:dyDescent="0.25">
      <c r="A107" t="s">
        <v>115</v>
      </c>
      <c r="B107" s="1">
        <v>45408</v>
      </c>
      <c r="C107" t="s">
        <v>490</v>
      </c>
      <c r="D107" t="s">
        <v>552</v>
      </c>
      <c r="E107" t="s">
        <v>555</v>
      </c>
      <c r="F107" t="s">
        <v>570</v>
      </c>
      <c r="G107">
        <v>9</v>
      </c>
      <c r="H107">
        <v>1113</v>
      </c>
      <c r="I107">
        <v>10017</v>
      </c>
      <c r="J107">
        <f t="shared" si="1"/>
        <v>10017</v>
      </c>
      <c r="K107" t="str">
        <f>IF(Table1[[#This Row],[Quantity]]*Table1[[#This Row],[Unit_Price]]=Table1[[#This Row],[Sales]],"Match","Mismatch")</f>
        <v>Match</v>
      </c>
      <c r="L107">
        <f>Table1[[#This Row],[Profit]]/Table1[[#This Row],[Sales]]*100</f>
        <v>100</v>
      </c>
    </row>
    <row r="108" spans="1:12" x14ac:dyDescent="0.25">
      <c r="A108" t="s">
        <v>116</v>
      </c>
      <c r="B108" s="1">
        <v>45459</v>
      </c>
      <c r="C108" t="s">
        <v>439</v>
      </c>
      <c r="D108" t="s">
        <v>552</v>
      </c>
      <c r="E108" t="s">
        <v>553</v>
      </c>
      <c r="F108" t="s">
        <v>576</v>
      </c>
      <c r="G108">
        <v>6</v>
      </c>
      <c r="H108">
        <v>4749</v>
      </c>
      <c r="I108">
        <v>28494</v>
      </c>
      <c r="J108">
        <f t="shared" si="1"/>
        <v>28494</v>
      </c>
      <c r="K108" t="str">
        <f>IF(Table1[[#This Row],[Quantity]]*Table1[[#This Row],[Unit_Price]]=Table1[[#This Row],[Sales]],"Match","Mismatch")</f>
        <v>Match</v>
      </c>
      <c r="L108">
        <f>Table1[[#This Row],[Profit]]/Table1[[#This Row],[Sales]]*100</f>
        <v>100</v>
      </c>
    </row>
    <row r="109" spans="1:12" x14ac:dyDescent="0.25">
      <c r="A109" t="s">
        <v>117</v>
      </c>
      <c r="B109" s="1">
        <v>45380</v>
      </c>
      <c r="C109" t="s">
        <v>491</v>
      </c>
      <c r="D109" t="s">
        <v>550</v>
      </c>
      <c r="E109" t="s">
        <v>554</v>
      </c>
      <c r="F109" t="s">
        <v>573</v>
      </c>
      <c r="G109">
        <v>3</v>
      </c>
      <c r="H109">
        <v>236</v>
      </c>
      <c r="I109">
        <v>708</v>
      </c>
      <c r="J109">
        <f t="shared" si="1"/>
        <v>708</v>
      </c>
      <c r="K109" t="str">
        <f>IF(Table1[[#This Row],[Quantity]]*Table1[[#This Row],[Unit_Price]]=Table1[[#This Row],[Sales]],"Match","Mismatch")</f>
        <v>Match</v>
      </c>
      <c r="L109">
        <f>Table1[[#This Row],[Profit]]/Table1[[#This Row],[Sales]]*100</f>
        <v>100</v>
      </c>
    </row>
    <row r="110" spans="1:12" x14ac:dyDescent="0.25">
      <c r="A110" t="s">
        <v>118</v>
      </c>
      <c r="B110" s="1">
        <v>45438</v>
      </c>
      <c r="C110" t="s">
        <v>492</v>
      </c>
      <c r="D110" t="s">
        <v>552</v>
      </c>
      <c r="E110" t="s">
        <v>553</v>
      </c>
      <c r="F110" t="s">
        <v>562</v>
      </c>
      <c r="G110">
        <v>8</v>
      </c>
      <c r="H110">
        <v>3587</v>
      </c>
      <c r="I110">
        <v>28696</v>
      </c>
      <c r="J110">
        <f t="shared" si="1"/>
        <v>28696</v>
      </c>
      <c r="K110" t="str">
        <f>IF(Table1[[#This Row],[Quantity]]*Table1[[#This Row],[Unit_Price]]=Table1[[#This Row],[Sales]],"Match","Mismatch")</f>
        <v>Match</v>
      </c>
      <c r="L110">
        <f>Table1[[#This Row],[Profit]]/Table1[[#This Row],[Sales]]*100</f>
        <v>100</v>
      </c>
    </row>
    <row r="111" spans="1:12" x14ac:dyDescent="0.25">
      <c r="A111" t="s">
        <v>119</v>
      </c>
      <c r="B111" s="1">
        <v>45328</v>
      </c>
      <c r="C111" t="s">
        <v>493</v>
      </c>
      <c r="D111" t="s">
        <v>549</v>
      </c>
      <c r="E111" t="s">
        <v>556</v>
      </c>
      <c r="F111" t="s">
        <v>563</v>
      </c>
      <c r="G111">
        <v>9</v>
      </c>
      <c r="H111">
        <v>1911</v>
      </c>
      <c r="I111">
        <v>17199</v>
      </c>
      <c r="J111">
        <f t="shared" si="1"/>
        <v>17199</v>
      </c>
      <c r="K111" t="str">
        <f>IF(Table1[[#This Row],[Quantity]]*Table1[[#This Row],[Unit_Price]]=Table1[[#This Row],[Sales]],"Match","Mismatch")</f>
        <v>Match</v>
      </c>
      <c r="L111">
        <f>Table1[[#This Row],[Profit]]/Table1[[#This Row],[Sales]]*100</f>
        <v>100</v>
      </c>
    </row>
    <row r="112" spans="1:12" x14ac:dyDescent="0.25">
      <c r="A112" t="s">
        <v>120</v>
      </c>
      <c r="B112" s="1">
        <v>45304</v>
      </c>
      <c r="C112" t="s">
        <v>430</v>
      </c>
      <c r="D112" t="s">
        <v>550</v>
      </c>
      <c r="E112" t="s">
        <v>555</v>
      </c>
      <c r="F112" t="s">
        <v>567</v>
      </c>
      <c r="G112">
        <v>6</v>
      </c>
      <c r="H112">
        <v>3220</v>
      </c>
      <c r="I112">
        <v>19320</v>
      </c>
      <c r="J112">
        <f t="shared" si="1"/>
        <v>19320</v>
      </c>
      <c r="K112" t="str">
        <f>IF(Table1[[#This Row],[Quantity]]*Table1[[#This Row],[Unit_Price]]=Table1[[#This Row],[Sales]],"Match","Mismatch")</f>
        <v>Match</v>
      </c>
      <c r="L112">
        <f>Table1[[#This Row],[Profit]]/Table1[[#This Row],[Sales]]*100</f>
        <v>100</v>
      </c>
    </row>
    <row r="113" spans="1:12" x14ac:dyDescent="0.25">
      <c r="A113" t="s">
        <v>121</v>
      </c>
      <c r="B113" s="1">
        <v>45536</v>
      </c>
      <c r="C113" t="s">
        <v>455</v>
      </c>
      <c r="D113" t="s">
        <v>549</v>
      </c>
      <c r="E113" t="s">
        <v>556</v>
      </c>
      <c r="F113" t="s">
        <v>568</v>
      </c>
      <c r="G113">
        <v>7</v>
      </c>
      <c r="H113">
        <v>995</v>
      </c>
      <c r="I113">
        <v>6965</v>
      </c>
      <c r="J113">
        <f t="shared" si="1"/>
        <v>6965</v>
      </c>
      <c r="K113" t="str">
        <f>IF(Table1[[#This Row],[Quantity]]*Table1[[#This Row],[Unit_Price]]=Table1[[#This Row],[Sales]],"Match","Mismatch")</f>
        <v>Match</v>
      </c>
      <c r="L113">
        <f>Table1[[#This Row],[Profit]]/Table1[[#This Row],[Sales]]*100</f>
        <v>100</v>
      </c>
    </row>
    <row r="114" spans="1:12" x14ac:dyDescent="0.25">
      <c r="A114" t="s">
        <v>122</v>
      </c>
      <c r="B114" s="1">
        <v>45530</v>
      </c>
      <c r="C114" t="s">
        <v>457</v>
      </c>
      <c r="D114" t="s">
        <v>550</v>
      </c>
      <c r="E114" t="s">
        <v>554</v>
      </c>
      <c r="F114" t="s">
        <v>558</v>
      </c>
      <c r="G114">
        <v>1</v>
      </c>
      <c r="H114">
        <v>4236</v>
      </c>
      <c r="I114">
        <v>4236</v>
      </c>
      <c r="J114">
        <f t="shared" si="1"/>
        <v>4236</v>
      </c>
      <c r="K114" t="str">
        <f>IF(Table1[[#This Row],[Quantity]]*Table1[[#This Row],[Unit_Price]]=Table1[[#This Row],[Sales]],"Match","Mismatch")</f>
        <v>Match</v>
      </c>
      <c r="L114">
        <f>Table1[[#This Row],[Profit]]/Table1[[#This Row],[Sales]]*100</f>
        <v>100</v>
      </c>
    </row>
    <row r="115" spans="1:12" x14ac:dyDescent="0.25">
      <c r="A115" t="s">
        <v>123</v>
      </c>
      <c r="B115" s="1">
        <v>45617</v>
      </c>
      <c r="C115" t="s">
        <v>494</v>
      </c>
      <c r="D115" t="s">
        <v>552</v>
      </c>
      <c r="E115" t="s">
        <v>556</v>
      </c>
      <c r="F115" t="s">
        <v>565</v>
      </c>
      <c r="G115">
        <v>5</v>
      </c>
      <c r="H115">
        <v>4888</v>
      </c>
      <c r="I115">
        <v>24440</v>
      </c>
      <c r="J115">
        <f t="shared" si="1"/>
        <v>24440</v>
      </c>
      <c r="K115" t="str">
        <f>IF(Table1[[#This Row],[Quantity]]*Table1[[#This Row],[Unit_Price]]=Table1[[#This Row],[Sales]],"Match","Mismatch")</f>
        <v>Match</v>
      </c>
      <c r="L115">
        <f>Table1[[#This Row],[Profit]]/Table1[[#This Row],[Sales]]*100</f>
        <v>100</v>
      </c>
    </row>
    <row r="116" spans="1:12" x14ac:dyDescent="0.25">
      <c r="A116" t="s">
        <v>124</v>
      </c>
      <c r="B116" s="1">
        <v>45443</v>
      </c>
      <c r="C116" t="s">
        <v>495</v>
      </c>
      <c r="D116" t="s">
        <v>549</v>
      </c>
      <c r="E116" t="s">
        <v>556</v>
      </c>
      <c r="F116" t="s">
        <v>565</v>
      </c>
      <c r="G116">
        <v>5</v>
      </c>
      <c r="H116">
        <v>3311</v>
      </c>
      <c r="I116">
        <v>16555</v>
      </c>
      <c r="J116">
        <f t="shared" si="1"/>
        <v>16555</v>
      </c>
      <c r="K116" t="str">
        <f>IF(Table1[[#This Row],[Quantity]]*Table1[[#This Row],[Unit_Price]]=Table1[[#This Row],[Sales]],"Match","Mismatch")</f>
        <v>Match</v>
      </c>
      <c r="L116">
        <f>Table1[[#This Row],[Profit]]/Table1[[#This Row],[Sales]]*100</f>
        <v>100</v>
      </c>
    </row>
    <row r="117" spans="1:12" x14ac:dyDescent="0.25">
      <c r="A117" t="s">
        <v>125</v>
      </c>
      <c r="B117" s="1">
        <v>45427</v>
      </c>
      <c r="C117" t="s">
        <v>482</v>
      </c>
      <c r="D117" t="s">
        <v>550</v>
      </c>
      <c r="E117" t="s">
        <v>554</v>
      </c>
      <c r="F117" t="s">
        <v>572</v>
      </c>
      <c r="G117">
        <v>4</v>
      </c>
      <c r="H117">
        <v>1524</v>
      </c>
      <c r="I117">
        <v>6096</v>
      </c>
      <c r="J117">
        <f t="shared" si="1"/>
        <v>6096</v>
      </c>
      <c r="K117" t="str">
        <f>IF(Table1[[#This Row],[Quantity]]*Table1[[#This Row],[Unit_Price]]=Table1[[#This Row],[Sales]],"Match","Mismatch")</f>
        <v>Match</v>
      </c>
      <c r="L117">
        <f>Table1[[#This Row],[Profit]]/Table1[[#This Row],[Sales]]*100</f>
        <v>100</v>
      </c>
    </row>
    <row r="118" spans="1:12" x14ac:dyDescent="0.25">
      <c r="A118" t="s">
        <v>126</v>
      </c>
      <c r="B118" s="1">
        <v>45507</v>
      </c>
      <c r="C118" t="s">
        <v>496</v>
      </c>
      <c r="D118" t="s">
        <v>551</v>
      </c>
      <c r="E118" t="s">
        <v>553</v>
      </c>
      <c r="F118" t="s">
        <v>562</v>
      </c>
      <c r="G118">
        <v>6</v>
      </c>
      <c r="H118">
        <v>517</v>
      </c>
      <c r="I118">
        <v>3102</v>
      </c>
      <c r="J118">
        <f t="shared" si="1"/>
        <v>3102</v>
      </c>
      <c r="K118" t="str">
        <f>IF(Table1[[#This Row],[Quantity]]*Table1[[#This Row],[Unit_Price]]=Table1[[#This Row],[Sales]],"Match","Mismatch")</f>
        <v>Match</v>
      </c>
      <c r="L118">
        <f>Table1[[#This Row],[Profit]]/Table1[[#This Row],[Sales]]*100</f>
        <v>100</v>
      </c>
    </row>
    <row r="119" spans="1:12" x14ac:dyDescent="0.25">
      <c r="A119" t="s">
        <v>127</v>
      </c>
      <c r="B119" s="1">
        <v>45572</v>
      </c>
      <c r="C119" t="s">
        <v>497</v>
      </c>
      <c r="D119" t="s">
        <v>552</v>
      </c>
      <c r="E119" t="s">
        <v>556</v>
      </c>
      <c r="F119" t="s">
        <v>565</v>
      </c>
      <c r="G119">
        <v>7</v>
      </c>
      <c r="H119">
        <v>2596</v>
      </c>
      <c r="I119">
        <v>18172</v>
      </c>
      <c r="J119">
        <f t="shared" si="1"/>
        <v>18172</v>
      </c>
      <c r="K119" t="str">
        <f>IF(Table1[[#This Row],[Quantity]]*Table1[[#This Row],[Unit_Price]]=Table1[[#This Row],[Sales]],"Match","Mismatch")</f>
        <v>Match</v>
      </c>
      <c r="L119">
        <f>Table1[[#This Row],[Profit]]/Table1[[#This Row],[Sales]]*100</f>
        <v>100</v>
      </c>
    </row>
    <row r="120" spans="1:12" x14ac:dyDescent="0.25">
      <c r="A120" t="s">
        <v>128</v>
      </c>
      <c r="B120" s="1">
        <v>45470</v>
      </c>
      <c r="C120" t="s">
        <v>484</v>
      </c>
      <c r="D120" t="s">
        <v>550</v>
      </c>
      <c r="E120" t="s">
        <v>553</v>
      </c>
      <c r="F120" t="s">
        <v>562</v>
      </c>
      <c r="G120">
        <v>9</v>
      </c>
      <c r="H120">
        <v>2362</v>
      </c>
      <c r="I120">
        <v>21258</v>
      </c>
      <c r="J120">
        <f t="shared" si="1"/>
        <v>21258</v>
      </c>
      <c r="K120" t="str">
        <f>IF(Table1[[#This Row],[Quantity]]*Table1[[#This Row],[Unit_Price]]=Table1[[#This Row],[Sales]],"Match","Mismatch")</f>
        <v>Match</v>
      </c>
      <c r="L120">
        <f>Table1[[#This Row],[Profit]]/Table1[[#This Row],[Sales]]*100</f>
        <v>100</v>
      </c>
    </row>
    <row r="121" spans="1:12" x14ac:dyDescent="0.25">
      <c r="A121" t="s">
        <v>129</v>
      </c>
      <c r="B121" s="1">
        <v>45461</v>
      </c>
      <c r="C121" t="s">
        <v>460</v>
      </c>
      <c r="D121" t="s">
        <v>551</v>
      </c>
      <c r="E121" t="s">
        <v>556</v>
      </c>
      <c r="F121" t="s">
        <v>563</v>
      </c>
      <c r="G121">
        <v>1</v>
      </c>
      <c r="H121">
        <v>2945</v>
      </c>
      <c r="I121">
        <v>2945</v>
      </c>
      <c r="J121">
        <f t="shared" si="1"/>
        <v>2945</v>
      </c>
      <c r="K121" t="str">
        <f>IF(Table1[[#This Row],[Quantity]]*Table1[[#This Row],[Unit_Price]]=Table1[[#This Row],[Sales]],"Match","Mismatch")</f>
        <v>Match</v>
      </c>
      <c r="L121">
        <f>Table1[[#This Row],[Profit]]/Table1[[#This Row],[Sales]]*100</f>
        <v>100</v>
      </c>
    </row>
    <row r="122" spans="1:12" x14ac:dyDescent="0.25">
      <c r="A122" t="s">
        <v>130</v>
      </c>
      <c r="B122" s="1">
        <v>45511</v>
      </c>
      <c r="C122" t="s">
        <v>493</v>
      </c>
      <c r="D122" t="s">
        <v>550</v>
      </c>
      <c r="E122" t="s">
        <v>553</v>
      </c>
      <c r="F122" t="s">
        <v>571</v>
      </c>
      <c r="G122">
        <v>6</v>
      </c>
      <c r="H122">
        <v>1791</v>
      </c>
      <c r="I122">
        <v>10746</v>
      </c>
      <c r="J122">
        <f t="shared" si="1"/>
        <v>10746</v>
      </c>
      <c r="K122" t="str">
        <f>IF(Table1[[#This Row],[Quantity]]*Table1[[#This Row],[Unit_Price]]=Table1[[#This Row],[Sales]],"Match","Mismatch")</f>
        <v>Match</v>
      </c>
      <c r="L122">
        <f>Table1[[#This Row],[Profit]]/Table1[[#This Row],[Sales]]*100</f>
        <v>100</v>
      </c>
    </row>
    <row r="123" spans="1:12" x14ac:dyDescent="0.25">
      <c r="A123" t="s">
        <v>131</v>
      </c>
      <c r="B123" s="1">
        <v>45654</v>
      </c>
      <c r="C123" t="s">
        <v>419</v>
      </c>
      <c r="D123" t="s">
        <v>551</v>
      </c>
      <c r="E123" t="s">
        <v>554</v>
      </c>
      <c r="F123" t="s">
        <v>564</v>
      </c>
      <c r="G123">
        <v>7</v>
      </c>
      <c r="H123">
        <v>3311</v>
      </c>
      <c r="I123">
        <v>23177</v>
      </c>
      <c r="J123">
        <f t="shared" si="1"/>
        <v>23177</v>
      </c>
      <c r="K123" t="str">
        <f>IF(Table1[[#This Row],[Quantity]]*Table1[[#This Row],[Unit_Price]]=Table1[[#This Row],[Sales]],"Match","Mismatch")</f>
        <v>Match</v>
      </c>
      <c r="L123">
        <f>Table1[[#This Row],[Profit]]/Table1[[#This Row],[Sales]]*100</f>
        <v>100</v>
      </c>
    </row>
    <row r="124" spans="1:12" x14ac:dyDescent="0.25">
      <c r="A124" t="s">
        <v>132</v>
      </c>
      <c r="B124" s="1">
        <v>45388</v>
      </c>
      <c r="C124" t="s">
        <v>477</v>
      </c>
      <c r="D124" t="s">
        <v>552</v>
      </c>
      <c r="E124" t="s">
        <v>556</v>
      </c>
      <c r="F124" t="s">
        <v>563</v>
      </c>
      <c r="G124">
        <v>3</v>
      </c>
      <c r="H124">
        <v>4130</v>
      </c>
      <c r="I124">
        <v>12390</v>
      </c>
      <c r="J124">
        <f t="shared" si="1"/>
        <v>12390</v>
      </c>
      <c r="K124" t="str">
        <f>IF(Table1[[#This Row],[Quantity]]*Table1[[#This Row],[Unit_Price]]=Table1[[#This Row],[Sales]],"Match","Mismatch")</f>
        <v>Match</v>
      </c>
      <c r="L124">
        <f>Table1[[#This Row],[Profit]]/Table1[[#This Row],[Sales]]*100</f>
        <v>100</v>
      </c>
    </row>
    <row r="125" spans="1:12" x14ac:dyDescent="0.25">
      <c r="A125" t="s">
        <v>133</v>
      </c>
      <c r="B125" s="1">
        <v>45564</v>
      </c>
      <c r="C125" t="s">
        <v>447</v>
      </c>
      <c r="D125" t="s">
        <v>549</v>
      </c>
      <c r="E125" t="s">
        <v>554</v>
      </c>
      <c r="F125" t="s">
        <v>572</v>
      </c>
      <c r="G125">
        <v>8</v>
      </c>
      <c r="H125">
        <v>2196</v>
      </c>
      <c r="I125">
        <v>17568</v>
      </c>
      <c r="J125">
        <f t="shared" si="1"/>
        <v>17568</v>
      </c>
      <c r="K125" t="str">
        <f>IF(Table1[[#This Row],[Quantity]]*Table1[[#This Row],[Unit_Price]]=Table1[[#This Row],[Sales]],"Match","Mismatch")</f>
        <v>Match</v>
      </c>
      <c r="L125">
        <f>Table1[[#This Row],[Profit]]/Table1[[#This Row],[Sales]]*100</f>
        <v>100</v>
      </c>
    </row>
    <row r="126" spans="1:12" x14ac:dyDescent="0.25">
      <c r="A126" t="s">
        <v>134</v>
      </c>
      <c r="B126" s="1">
        <v>45319</v>
      </c>
      <c r="C126" t="s">
        <v>498</v>
      </c>
      <c r="D126" t="s">
        <v>551</v>
      </c>
      <c r="E126" t="s">
        <v>556</v>
      </c>
      <c r="F126" t="s">
        <v>568</v>
      </c>
      <c r="G126">
        <v>5</v>
      </c>
      <c r="H126">
        <v>1512</v>
      </c>
      <c r="I126">
        <v>7560</v>
      </c>
      <c r="J126">
        <f t="shared" si="1"/>
        <v>7560</v>
      </c>
      <c r="K126" t="str">
        <f>IF(Table1[[#This Row],[Quantity]]*Table1[[#This Row],[Unit_Price]]=Table1[[#This Row],[Sales]],"Match","Mismatch")</f>
        <v>Match</v>
      </c>
      <c r="L126">
        <f>Table1[[#This Row],[Profit]]/Table1[[#This Row],[Sales]]*100</f>
        <v>100</v>
      </c>
    </row>
    <row r="127" spans="1:12" x14ac:dyDescent="0.25">
      <c r="A127" t="s">
        <v>135</v>
      </c>
      <c r="B127" s="1">
        <v>45295</v>
      </c>
      <c r="C127" t="s">
        <v>499</v>
      </c>
      <c r="D127" t="s">
        <v>550</v>
      </c>
      <c r="E127" t="s">
        <v>554</v>
      </c>
      <c r="F127" t="s">
        <v>564</v>
      </c>
      <c r="G127">
        <v>9</v>
      </c>
      <c r="H127">
        <v>1485</v>
      </c>
      <c r="I127">
        <v>13365</v>
      </c>
      <c r="J127">
        <f t="shared" si="1"/>
        <v>13365</v>
      </c>
      <c r="K127" t="str">
        <f>IF(Table1[[#This Row],[Quantity]]*Table1[[#This Row],[Unit_Price]]=Table1[[#This Row],[Sales]],"Match","Mismatch")</f>
        <v>Match</v>
      </c>
      <c r="L127">
        <f>Table1[[#This Row],[Profit]]/Table1[[#This Row],[Sales]]*100</f>
        <v>100</v>
      </c>
    </row>
    <row r="128" spans="1:12" x14ac:dyDescent="0.25">
      <c r="A128" t="s">
        <v>136</v>
      </c>
      <c r="B128" s="1">
        <v>45621</v>
      </c>
      <c r="C128" t="s">
        <v>500</v>
      </c>
      <c r="D128" t="s">
        <v>552</v>
      </c>
      <c r="E128" t="s">
        <v>554</v>
      </c>
      <c r="F128" t="s">
        <v>564</v>
      </c>
      <c r="G128">
        <v>5</v>
      </c>
      <c r="H128">
        <v>4511</v>
      </c>
      <c r="I128">
        <v>22555</v>
      </c>
      <c r="J128">
        <f t="shared" si="1"/>
        <v>22555</v>
      </c>
      <c r="K128" t="str">
        <f>IF(Table1[[#This Row],[Quantity]]*Table1[[#This Row],[Unit_Price]]=Table1[[#This Row],[Sales]],"Match","Mismatch")</f>
        <v>Match</v>
      </c>
      <c r="L128">
        <f>Table1[[#This Row],[Profit]]/Table1[[#This Row],[Sales]]*100</f>
        <v>100</v>
      </c>
    </row>
    <row r="129" spans="1:12" x14ac:dyDescent="0.25">
      <c r="A129" t="s">
        <v>137</v>
      </c>
      <c r="B129" s="1">
        <v>45345</v>
      </c>
      <c r="C129" t="s">
        <v>459</v>
      </c>
      <c r="D129" t="s">
        <v>551</v>
      </c>
      <c r="E129" t="s">
        <v>556</v>
      </c>
      <c r="F129" t="s">
        <v>568</v>
      </c>
      <c r="G129">
        <v>9</v>
      </c>
      <c r="H129">
        <v>2583</v>
      </c>
      <c r="I129">
        <v>23247</v>
      </c>
      <c r="J129">
        <f t="shared" si="1"/>
        <v>23247</v>
      </c>
      <c r="K129" t="str">
        <f>IF(Table1[[#This Row],[Quantity]]*Table1[[#This Row],[Unit_Price]]=Table1[[#This Row],[Sales]],"Match","Mismatch")</f>
        <v>Match</v>
      </c>
      <c r="L129">
        <f>Table1[[#This Row],[Profit]]/Table1[[#This Row],[Sales]]*100</f>
        <v>100</v>
      </c>
    </row>
    <row r="130" spans="1:12" x14ac:dyDescent="0.25">
      <c r="A130" t="s">
        <v>138</v>
      </c>
      <c r="B130" s="1">
        <v>45583</v>
      </c>
      <c r="C130" t="s">
        <v>475</v>
      </c>
      <c r="D130" t="s">
        <v>550</v>
      </c>
      <c r="E130" t="s">
        <v>556</v>
      </c>
      <c r="F130" t="s">
        <v>568</v>
      </c>
      <c r="G130">
        <v>4</v>
      </c>
      <c r="H130">
        <v>3439</v>
      </c>
      <c r="I130">
        <v>13756</v>
      </c>
      <c r="J130">
        <f t="shared" si="1"/>
        <v>13756</v>
      </c>
      <c r="K130" t="str">
        <f>IF(Table1[[#This Row],[Quantity]]*Table1[[#This Row],[Unit_Price]]=Table1[[#This Row],[Sales]],"Match","Mismatch")</f>
        <v>Match</v>
      </c>
      <c r="L130">
        <f>Table1[[#This Row],[Profit]]/Table1[[#This Row],[Sales]]*100</f>
        <v>100</v>
      </c>
    </row>
    <row r="131" spans="1:12" x14ac:dyDescent="0.25">
      <c r="A131" t="s">
        <v>139</v>
      </c>
      <c r="B131" s="1">
        <v>45644</v>
      </c>
      <c r="C131" t="s">
        <v>459</v>
      </c>
      <c r="D131" t="s">
        <v>550</v>
      </c>
      <c r="E131" t="s">
        <v>556</v>
      </c>
      <c r="F131" t="s">
        <v>563</v>
      </c>
      <c r="G131">
        <v>9</v>
      </c>
      <c r="H131">
        <v>2339</v>
      </c>
      <c r="I131">
        <v>21051</v>
      </c>
      <c r="J131">
        <f t="shared" ref="J131:J194" si="2">IF(ISBLANK(I131),$J$2:$J$401,I131)</f>
        <v>21051</v>
      </c>
      <c r="K131" t="str">
        <f>IF(Table1[[#This Row],[Quantity]]*Table1[[#This Row],[Unit_Price]]=Table1[[#This Row],[Sales]],"Match","Mismatch")</f>
        <v>Match</v>
      </c>
      <c r="L131">
        <f>Table1[[#This Row],[Profit]]/Table1[[#This Row],[Sales]]*100</f>
        <v>100</v>
      </c>
    </row>
    <row r="132" spans="1:12" x14ac:dyDescent="0.25">
      <c r="A132" t="s">
        <v>140</v>
      </c>
      <c r="B132" s="1">
        <v>45448</v>
      </c>
      <c r="C132" t="s">
        <v>501</v>
      </c>
      <c r="D132" t="s">
        <v>550</v>
      </c>
      <c r="E132" t="s">
        <v>555</v>
      </c>
      <c r="F132" t="s">
        <v>575</v>
      </c>
      <c r="G132">
        <v>5</v>
      </c>
      <c r="H132">
        <v>1904</v>
      </c>
      <c r="I132">
        <v>9520</v>
      </c>
      <c r="J132">
        <f t="shared" si="2"/>
        <v>9520</v>
      </c>
      <c r="K132" t="str">
        <f>IF(Table1[[#This Row],[Quantity]]*Table1[[#This Row],[Unit_Price]]=Table1[[#This Row],[Sales]],"Match","Mismatch")</f>
        <v>Match</v>
      </c>
      <c r="L132">
        <f>Table1[[#This Row],[Profit]]/Table1[[#This Row],[Sales]]*100</f>
        <v>100</v>
      </c>
    </row>
    <row r="133" spans="1:12" x14ac:dyDescent="0.25">
      <c r="A133" t="s">
        <v>141</v>
      </c>
      <c r="B133" s="1">
        <v>45629</v>
      </c>
      <c r="C133" t="s">
        <v>471</v>
      </c>
      <c r="D133" t="s">
        <v>551</v>
      </c>
      <c r="E133" t="s">
        <v>553</v>
      </c>
      <c r="F133" t="s">
        <v>576</v>
      </c>
      <c r="G133">
        <v>9</v>
      </c>
      <c r="H133">
        <v>562</v>
      </c>
      <c r="I133">
        <v>5058</v>
      </c>
      <c r="J133">
        <f t="shared" si="2"/>
        <v>5058</v>
      </c>
      <c r="K133" t="str">
        <f>IF(Table1[[#This Row],[Quantity]]*Table1[[#This Row],[Unit_Price]]=Table1[[#This Row],[Sales]],"Match","Mismatch")</f>
        <v>Match</v>
      </c>
      <c r="L133">
        <f>Table1[[#This Row],[Profit]]/Table1[[#This Row],[Sales]]*100</f>
        <v>100</v>
      </c>
    </row>
    <row r="134" spans="1:12" x14ac:dyDescent="0.25">
      <c r="A134" t="s">
        <v>142</v>
      </c>
      <c r="B134" s="1">
        <v>45524</v>
      </c>
      <c r="C134" t="s">
        <v>502</v>
      </c>
      <c r="D134" t="s">
        <v>551</v>
      </c>
      <c r="E134" t="s">
        <v>555</v>
      </c>
      <c r="F134" t="s">
        <v>559</v>
      </c>
      <c r="G134">
        <v>3</v>
      </c>
      <c r="H134">
        <v>2804</v>
      </c>
      <c r="I134">
        <v>8412</v>
      </c>
      <c r="J134">
        <f t="shared" si="2"/>
        <v>8412</v>
      </c>
      <c r="K134" t="str">
        <f>IF(Table1[[#This Row],[Quantity]]*Table1[[#This Row],[Unit_Price]]=Table1[[#This Row],[Sales]],"Match","Mismatch")</f>
        <v>Match</v>
      </c>
      <c r="L134">
        <f>Table1[[#This Row],[Profit]]/Table1[[#This Row],[Sales]]*100</f>
        <v>100</v>
      </c>
    </row>
    <row r="135" spans="1:12" x14ac:dyDescent="0.25">
      <c r="A135" t="s">
        <v>143</v>
      </c>
      <c r="B135" s="1">
        <v>45388</v>
      </c>
      <c r="C135" t="s">
        <v>430</v>
      </c>
      <c r="D135" t="s">
        <v>551</v>
      </c>
      <c r="E135" t="s">
        <v>555</v>
      </c>
      <c r="F135" t="s">
        <v>570</v>
      </c>
      <c r="G135">
        <v>4</v>
      </c>
      <c r="H135">
        <v>1916</v>
      </c>
      <c r="I135">
        <v>7664</v>
      </c>
      <c r="J135">
        <f t="shared" si="2"/>
        <v>7664</v>
      </c>
      <c r="K135" t="str">
        <f>IF(Table1[[#This Row],[Quantity]]*Table1[[#This Row],[Unit_Price]]=Table1[[#This Row],[Sales]],"Match","Mismatch")</f>
        <v>Match</v>
      </c>
      <c r="L135">
        <f>Table1[[#This Row],[Profit]]/Table1[[#This Row],[Sales]]*100</f>
        <v>100</v>
      </c>
    </row>
    <row r="136" spans="1:12" x14ac:dyDescent="0.25">
      <c r="A136" t="s">
        <v>144</v>
      </c>
      <c r="B136" s="1">
        <v>45373</v>
      </c>
      <c r="C136" t="s">
        <v>503</v>
      </c>
      <c r="D136" t="s">
        <v>549</v>
      </c>
      <c r="E136" t="s">
        <v>554</v>
      </c>
      <c r="F136" t="s">
        <v>558</v>
      </c>
      <c r="G136">
        <v>9</v>
      </c>
      <c r="H136">
        <v>4651</v>
      </c>
      <c r="I136">
        <v>41859</v>
      </c>
      <c r="J136">
        <f t="shared" si="2"/>
        <v>41859</v>
      </c>
      <c r="K136" t="str">
        <f>IF(Table1[[#This Row],[Quantity]]*Table1[[#This Row],[Unit_Price]]=Table1[[#This Row],[Sales]],"Match","Mismatch")</f>
        <v>Match</v>
      </c>
      <c r="L136">
        <f>Table1[[#This Row],[Profit]]/Table1[[#This Row],[Sales]]*100</f>
        <v>100</v>
      </c>
    </row>
    <row r="137" spans="1:12" x14ac:dyDescent="0.25">
      <c r="A137" t="s">
        <v>145</v>
      </c>
      <c r="B137" s="1">
        <v>45617</v>
      </c>
      <c r="C137" t="s">
        <v>504</v>
      </c>
      <c r="D137" t="s">
        <v>551</v>
      </c>
      <c r="E137" t="s">
        <v>556</v>
      </c>
      <c r="F137" t="s">
        <v>563</v>
      </c>
      <c r="G137">
        <v>6</v>
      </c>
      <c r="H137">
        <v>4486</v>
      </c>
      <c r="I137">
        <v>26916</v>
      </c>
      <c r="J137">
        <f t="shared" si="2"/>
        <v>26916</v>
      </c>
      <c r="K137" t="str">
        <f>IF(Table1[[#This Row],[Quantity]]*Table1[[#This Row],[Unit_Price]]=Table1[[#This Row],[Sales]],"Match","Mismatch")</f>
        <v>Match</v>
      </c>
      <c r="L137">
        <f>Table1[[#This Row],[Profit]]/Table1[[#This Row],[Sales]]*100</f>
        <v>100</v>
      </c>
    </row>
    <row r="138" spans="1:12" x14ac:dyDescent="0.25">
      <c r="A138" t="s">
        <v>146</v>
      </c>
      <c r="B138" s="1">
        <v>45502</v>
      </c>
      <c r="C138" t="s">
        <v>455</v>
      </c>
      <c r="D138" t="s">
        <v>551</v>
      </c>
      <c r="E138" t="s">
        <v>553</v>
      </c>
      <c r="F138" t="s">
        <v>562</v>
      </c>
      <c r="G138">
        <v>2</v>
      </c>
      <c r="H138">
        <v>3938</v>
      </c>
      <c r="I138">
        <v>7876</v>
      </c>
      <c r="J138">
        <f t="shared" si="2"/>
        <v>7876</v>
      </c>
      <c r="K138" t="str">
        <f>IF(Table1[[#This Row],[Quantity]]*Table1[[#This Row],[Unit_Price]]=Table1[[#This Row],[Sales]],"Match","Mismatch")</f>
        <v>Match</v>
      </c>
      <c r="L138">
        <f>Table1[[#This Row],[Profit]]/Table1[[#This Row],[Sales]]*100</f>
        <v>100</v>
      </c>
    </row>
    <row r="139" spans="1:12" x14ac:dyDescent="0.25">
      <c r="A139" t="s">
        <v>147</v>
      </c>
      <c r="B139" s="1">
        <v>45613</v>
      </c>
      <c r="C139" t="s">
        <v>505</v>
      </c>
      <c r="D139" t="s">
        <v>551</v>
      </c>
      <c r="E139" t="s">
        <v>554</v>
      </c>
      <c r="F139" t="s">
        <v>558</v>
      </c>
      <c r="G139">
        <v>7</v>
      </c>
      <c r="H139">
        <v>2669</v>
      </c>
      <c r="I139">
        <v>18683</v>
      </c>
      <c r="J139">
        <f t="shared" si="2"/>
        <v>18683</v>
      </c>
      <c r="K139" t="str">
        <f>IF(Table1[[#This Row],[Quantity]]*Table1[[#This Row],[Unit_Price]]=Table1[[#This Row],[Sales]],"Match","Mismatch")</f>
        <v>Match</v>
      </c>
      <c r="L139">
        <f>Table1[[#This Row],[Profit]]/Table1[[#This Row],[Sales]]*100</f>
        <v>100</v>
      </c>
    </row>
    <row r="140" spans="1:12" x14ac:dyDescent="0.25">
      <c r="A140" t="s">
        <v>148</v>
      </c>
      <c r="B140" s="1">
        <v>45421</v>
      </c>
      <c r="C140" t="s">
        <v>445</v>
      </c>
      <c r="D140" t="s">
        <v>549</v>
      </c>
      <c r="E140" t="s">
        <v>555</v>
      </c>
      <c r="F140" t="s">
        <v>567</v>
      </c>
      <c r="G140">
        <v>2</v>
      </c>
      <c r="H140">
        <v>4995</v>
      </c>
      <c r="I140">
        <v>9990</v>
      </c>
      <c r="J140">
        <f t="shared" si="2"/>
        <v>9990</v>
      </c>
      <c r="K140" t="str">
        <f>IF(Table1[[#This Row],[Quantity]]*Table1[[#This Row],[Unit_Price]]=Table1[[#This Row],[Sales]],"Match","Mismatch")</f>
        <v>Match</v>
      </c>
      <c r="L140">
        <f>Table1[[#This Row],[Profit]]/Table1[[#This Row],[Sales]]*100</f>
        <v>100</v>
      </c>
    </row>
    <row r="141" spans="1:12" x14ac:dyDescent="0.25">
      <c r="A141" t="s">
        <v>149</v>
      </c>
      <c r="B141" s="1">
        <v>45480</v>
      </c>
      <c r="C141" t="s">
        <v>506</v>
      </c>
      <c r="D141" t="s">
        <v>551</v>
      </c>
      <c r="E141" t="s">
        <v>556</v>
      </c>
      <c r="F141" t="s">
        <v>565</v>
      </c>
      <c r="G141">
        <v>2</v>
      </c>
      <c r="H141">
        <v>756</v>
      </c>
      <c r="I141">
        <v>1512</v>
      </c>
      <c r="J141">
        <f t="shared" si="2"/>
        <v>1512</v>
      </c>
      <c r="K141" t="str">
        <f>IF(Table1[[#This Row],[Quantity]]*Table1[[#This Row],[Unit_Price]]=Table1[[#This Row],[Sales]],"Match","Mismatch")</f>
        <v>Match</v>
      </c>
      <c r="L141">
        <f>Table1[[#This Row],[Profit]]/Table1[[#This Row],[Sales]]*100</f>
        <v>100</v>
      </c>
    </row>
    <row r="142" spans="1:12" x14ac:dyDescent="0.25">
      <c r="A142" t="s">
        <v>150</v>
      </c>
      <c r="B142" s="1">
        <v>45311</v>
      </c>
      <c r="C142" t="s">
        <v>422</v>
      </c>
      <c r="D142" t="s">
        <v>550</v>
      </c>
      <c r="E142" t="s">
        <v>554</v>
      </c>
      <c r="F142" t="s">
        <v>572</v>
      </c>
      <c r="G142">
        <v>1</v>
      </c>
      <c r="H142">
        <v>1025</v>
      </c>
      <c r="I142">
        <v>1025</v>
      </c>
      <c r="J142">
        <f t="shared" si="2"/>
        <v>1025</v>
      </c>
      <c r="K142" t="str">
        <f>IF(Table1[[#This Row],[Quantity]]*Table1[[#This Row],[Unit_Price]]=Table1[[#This Row],[Sales]],"Match","Mismatch")</f>
        <v>Match</v>
      </c>
      <c r="L142">
        <f>Table1[[#This Row],[Profit]]/Table1[[#This Row],[Sales]]*100</f>
        <v>100</v>
      </c>
    </row>
    <row r="143" spans="1:12" x14ac:dyDescent="0.25">
      <c r="A143" t="s">
        <v>151</v>
      </c>
      <c r="B143" s="1">
        <v>45484</v>
      </c>
      <c r="C143" t="s">
        <v>474</v>
      </c>
      <c r="D143" t="s">
        <v>551</v>
      </c>
      <c r="E143" t="s">
        <v>556</v>
      </c>
      <c r="F143" t="s">
        <v>563</v>
      </c>
      <c r="G143">
        <v>3</v>
      </c>
      <c r="H143">
        <v>3008</v>
      </c>
      <c r="I143">
        <v>9024</v>
      </c>
      <c r="J143">
        <f t="shared" si="2"/>
        <v>9024</v>
      </c>
      <c r="K143" t="str">
        <f>IF(Table1[[#This Row],[Quantity]]*Table1[[#This Row],[Unit_Price]]=Table1[[#This Row],[Sales]],"Match","Mismatch")</f>
        <v>Match</v>
      </c>
      <c r="L143">
        <f>Table1[[#This Row],[Profit]]/Table1[[#This Row],[Sales]]*100</f>
        <v>100</v>
      </c>
    </row>
    <row r="144" spans="1:12" x14ac:dyDescent="0.25">
      <c r="A144" t="s">
        <v>152</v>
      </c>
      <c r="B144" s="1">
        <v>45573</v>
      </c>
      <c r="C144" t="s">
        <v>497</v>
      </c>
      <c r="D144" t="s">
        <v>550</v>
      </c>
      <c r="E144" t="s">
        <v>554</v>
      </c>
      <c r="F144" t="s">
        <v>572</v>
      </c>
      <c r="G144">
        <v>6</v>
      </c>
      <c r="H144">
        <v>4721</v>
      </c>
      <c r="I144">
        <v>28326</v>
      </c>
      <c r="J144">
        <f t="shared" si="2"/>
        <v>28326</v>
      </c>
      <c r="K144" t="str">
        <f>IF(Table1[[#This Row],[Quantity]]*Table1[[#This Row],[Unit_Price]]=Table1[[#This Row],[Sales]],"Match","Mismatch")</f>
        <v>Match</v>
      </c>
      <c r="L144">
        <f>Table1[[#This Row],[Profit]]/Table1[[#This Row],[Sales]]*100</f>
        <v>100</v>
      </c>
    </row>
    <row r="145" spans="1:12" x14ac:dyDescent="0.25">
      <c r="A145" t="s">
        <v>153</v>
      </c>
      <c r="B145" s="1">
        <v>45604</v>
      </c>
      <c r="C145" t="s">
        <v>507</v>
      </c>
      <c r="D145" t="s">
        <v>550</v>
      </c>
      <c r="E145" t="s">
        <v>556</v>
      </c>
      <c r="F145" t="s">
        <v>563</v>
      </c>
      <c r="G145">
        <v>8</v>
      </c>
      <c r="H145">
        <v>2919</v>
      </c>
      <c r="I145">
        <v>23352</v>
      </c>
      <c r="J145">
        <f t="shared" si="2"/>
        <v>23352</v>
      </c>
      <c r="K145" t="str">
        <f>IF(Table1[[#This Row],[Quantity]]*Table1[[#This Row],[Unit_Price]]=Table1[[#This Row],[Sales]],"Match","Mismatch")</f>
        <v>Match</v>
      </c>
      <c r="L145">
        <f>Table1[[#This Row],[Profit]]/Table1[[#This Row],[Sales]]*100</f>
        <v>100</v>
      </c>
    </row>
    <row r="146" spans="1:12" x14ac:dyDescent="0.25">
      <c r="A146" t="s">
        <v>154</v>
      </c>
      <c r="B146" s="1">
        <v>45389</v>
      </c>
      <c r="C146" t="s">
        <v>508</v>
      </c>
      <c r="D146" t="s">
        <v>550</v>
      </c>
      <c r="E146" t="s">
        <v>555</v>
      </c>
      <c r="F146" t="s">
        <v>570</v>
      </c>
      <c r="G146">
        <v>9</v>
      </c>
      <c r="H146">
        <v>3708</v>
      </c>
      <c r="I146">
        <v>33372</v>
      </c>
      <c r="J146">
        <f t="shared" si="2"/>
        <v>33372</v>
      </c>
      <c r="K146" t="str">
        <f>IF(Table1[[#This Row],[Quantity]]*Table1[[#This Row],[Unit_Price]]=Table1[[#This Row],[Sales]],"Match","Mismatch")</f>
        <v>Match</v>
      </c>
      <c r="L146">
        <f>Table1[[#This Row],[Profit]]/Table1[[#This Row],[Sales]]*100</f>
        <v>100</v>
      </c>
    </row>
    <row r="147" spans="1:12" x14ac:dyDescent="0.25">
      <c r="A147" t="s">
        <v>155</v>
      </c>
      <c r="B147" s="1">
        <v>45339</v>
      </c>
      <c r="C147" t="s">
        <v>509</v>
      </c>
      <c r="D147" t="s">
        <v>549</v>
      </c>
      <c r="E147" t="s">
        <v>553</v>
      </c>
      <c r="F147" t="s">
        <v>560</v>
      </c>
      <c r="G147">
        <v>7</v>
      </c>
      <c r="H147">
        <v>3941</v>
      </c>
      <c r="I147">
        <v>27587</v>
      </c>
      <c r="J147">
        <f t="shared" si="2"/>
        <v>27587</v>
      </c>
      <c r="K147" t="str">
        <f>IF(Table1[[#This Row],[Quantity]]*Table1[[#This Row],[Unit_Price]]=Table1[[#This Row],[Sales]],"Match","Mismatch")</f>
        <v>Match</v>
      </c>
      <c r="L147">
        <f>Table1[[#This Row],[Profit]]/Table1[[#This Row],[Sales]]*100</f>
        <v>100</v>
      </c>
    </row>
    <row r="148" spans="1:12" x14ac:dyDescent="0.25">
      <c r="A148" t="s">
        <v>156</v>
      </c>
      <c r="B148" s="1">
        <v>45428</v>
      </c>
      <c r="C148" t="s">
        <v>510</v>
      </c>
      <c r="D148" t="s">
        <v>549</v>
      </c>
      <c r="E148" t="s">
        <v>555</v>
      </c>
      <c r="F148" t="s">
        <v>566</v>
      </c>
      <c r="G148">
        <v>4</v>
      </c>
      <c r="H148">
        <v>1774</v>
      </c>
      <c r="I148">
        <v>7096</v>
      </c>
      <c r="J148">
        <f t="shared" si="2"/>
        <v>7096</v>
      </c>
      <c r="K148" t="str">
        <f>IF(Table1[[#This Row],[Quantity]]*Table1[[#This Row],[Unit_Price]]=Table1[[#This Row],[Sales]],"Match","Mismatch")</f>
        <v>Match</v>
      </c>
      <c r="L148">
        <f>Table1[[#This Row],[Profit]]/Table1[[#This Row],[Sales]]*100</f>
        <v>100</v>
      </c>
    </row>
    <row r="149" spans="1:12" x14ac:dyDescent="0.25">
      <c r="A149" t="s">
        <v>157</v>
      </c>
      <c r="B149" s="1">
        <v>45296</v>
      </c>
      <c r="C149" t="s">
        <v>511</v>
      </c>
      <c r="D149" t="s">
        <v>549</v>
      </c>
      <c r="E149" t="s">
        <v>553</v>
      </c>
      <c r="F149" t="s">
        <v>560</v>
      </c>
      <c r="G149">
        <v>6</v>
      </c>
      <c r="H149">
        <v>4198</v>
      </c>
      <c r="I149">
        <v>25188</v>
      </c>
      <c r="J149">
        <f t="shared" si="2"/>
        <v>25188</v>
      </c>
      <c r="K149" t="str">
        <f>IF(Table1[[#This Row],[Quantity]]*Table1[[#This Row],[Unit_Price]]=Table1[[#This Row],[Sales]],"Match","Mismatch")</f>
        <v>Match</v>
      </c>
      <c r="L149">
        <f>Table1[[#This Row],[Profit]]/Table1[[#This Row],[Sales]]*100</f>
        <v>100</v>
      </c>
    </row>
    <row r="150" spans="1:12" x14ac:dyDescent="0.25">
      <c r="A150" t="s">
        <v>158</v>
      </c>
      <c r="B150" s="1">
        <v>45520</v>
      </c>
      <c r="C150" t="s">
        <v>412</v>
      </c>
      <c r="D150" t="s">
        <v>551</v>
      </c>
      <c r="E150" t="s">
        <v>556</v>
      </c>
      <c r="F150" t="s">
        <v>568</v>
      </c>
      <c r="G150">
        <v>5</v>
      </c>
      <c r="H150">
        <v>2329</v>
      </c>
      <c r="I150">
        <v>11645</v>
      </c>
      <c r="J150">
        <f t="shared" si="2"/>
        <v>11645</v>
      </c>
      <c r="K150" t="str">
        <f>IF(Table1[[#This Row],[Quantity]]*Table1[[#This Row],[Unit_Price]]=Table1[[#This Row],[Sales]],"Match","Mismatch")</f>
        <v>Match</v>
      </c>
      <c r="L150">
        <f>Table1[[#This Row],[Profit]]/Table1[[#This Row],[Sales]]*100</f>
        <v>100</v>
      </c>
    </row>
    <row r="151" spans="1:12" x14ac:dyDescent="0.25">
      <c r="A151" t="s">
        <v>159</v>
      </c>
      <c r="B151" s="1">
        <v>45352</v>
      </c>
      <c r="C151" t="s">
        <v>512</v>
      </c>
      <c r="D151" t="s">
        <v>550</v>
      </c>
      <c r="E151" t="s">
        <v>554</v>
      </c>
      <c r="F151" t="s">
        <v>573</v>
      </c>
      <c r="G151">
        <v>8</v>
      </c>
      <c r="H151">
        <v>2603</v>
      </c>
      <c r="I151">
        <v>20824</v>
      </c>
      <c r="J151">
        <f t="shared" si="2"/>
        <v>20824</v>
      </c>
      <c r="K151" t="str">
        <f>IF(Table1[[#This Row],[Quantity]]*Table1[[#This Row],[Unit_Price]]=Table1[[#This Row],[Sales]],"Match","Mismatch")</f>
        <v>Match</v>
      </c>
      <c r="L151">
        <f>Table1[[#This Row],[Profit]]/Table1[[#This Row],[Sales]]*100</f>
        <v>100</v>
      </c>
    </row>
    <row r="152" spans="1:12" x14ac:dyDescent="0.25">
      <c r="A152" t="s">
        <v>160</v>
      </c>
      <c r="B152" s="1">
        <v>45526</v>
      </c>
      <c r="C152" t="s">
        <v>480</v>
      </c>
      <c r="D152" t="s">
        <v>549</v>
      </c>
      <c r="E152" t="s">
        <v>555</v>
      </c>
      <c r="F152" t="s">
        <v>570</v>
      </c>
      <c r="G152">
        <v>1</v>
      </c>
      <c r="H152">
        <v>3529</v>
      </c>
      <c r="I152">
        <v>3529</v>
      </c>
      <c r="J152">
        <f t="shared" si="2"/>
        <v>3529</v>
      </c>
      <c r="K152" t="str">
        <f>IF(Table1[[#This Row],[Quantity]]*Table1[[#This Row],[Unit_Price]]=Table1[[#This Row],[Sales]],"Match","Mismatch")</f>
        <v>Match</v>
      </c>
      <c r="L152">
        <f>Table1[[#This Row],[Profit]]/Table1[[#This Row],[Sales]]*100</f>
        <v>100</v>
      </c>
    </row>
    <row r="153" spans="1:12" x14ac:dyDescent="0.25">
      <c r="A153" t="s">
        <v>161</v>
      </c>
      <c r="B153" s="1">
        <v>45376</v>
      </c>
      <c r="C153" t="s">
        <v>471</v>
      </c>
      <c r="D153" t="s">
        <v>549</v>
      </c>
      <c r="E153" t="s">
        <v>553</v>
      </c>
      <c r="F153" t="s">
        <v>557</v>
      </c>
      <c r="G153">
        <v>1</v>
      </c>
      <c r="H153">
        <v>788</v>
      </c>
      <c r="I153">
        <v>788</v>
      </c>
      <c r="J153">
        <f t="shared" si="2"/>
        <v>788</v>
      </c>
      <c r="K153" t="str">
        <f>IF(Table1[[#This Row],[Quantity]]*Table1[[#This Row],[Unit_Price]]=Table1[[#This Row],[Sales]],"Match","Mismatch")</f>
        <v>Match</v>
      </c>
      <c r="L153">
        <f>Table1[[#This Row],[Profit]]/Table1[[#This Row],[Sales]]*100</f>
        <v>100</v>
      </c>
    </row>
    <row r="154" spans="1:12" x14ac:dyDescent="0.25">
      <c r="A154" t="s">
        <v>162</v>
      </c>
      <c r="B154" s="1">
        <v>45404</v>
      </c>
      <c r="C154" t="s">
        <v>472</v>
      </c>
      <c r="D154" t="s">
        <v>551</v>
      </c>
      <c r="E154" t="s">
        <v>555</v>
      </c>
      <c r="F154" t="s">
        <v>575</v>
      </c>
      <c r="G154">
        <v>6</v>
      </c>
      <c r="H154">
        <v>2212</v>
      </c>
      <c r="I154">
        <v>13272</v>
      </c>
      <c r="J154">
        <f t="shared" si="2"/>
        <v>13272</v>
      </c>
      <c r="K154" t="str">
        <f>IF(Table1[[#This Row],[Quantity]]*Table1[[#This Row],[Unit_Price]]=Table1[[#This Row],[Sales]],"Match","Mismatch")</f>
        <v>Match</v>
      </c>
      <c r="L154">
        <f>Table1[[#This Row],[Profit]]/Table1[[#This Row],[Sales]]*100</f>
        <v>100</v>
      </c>
    </row>
    <row r="155" spans="1:12" x14ac:dyDescent="0.25">
      <c r="A155" t="s">
        <v>163</v>
      </c>
      <c r="B155" s="1">
        <v>45480</v>
      </c>
      <c r="C155" t="s">
        <v>513</v>
      </c>
      <c r="D155" t="s">
        <v>549</v>
      </c>
      <c r="E155" t="s">
        <v>553</v>
      </c>
      <c r="F155" t="s">
        <v>571</v>
      </c>
      <c r="G155">
        <v>2</v>
      </c>
      <c r="H155">
        <v>1747</v>
      </c>
      <c r="I155">
        <v>3494</v>
      </c>
      <c r="J155">
        <f t="shared" si="2"/>
        <v>3494</v>
      </c>
      <c r="K155" t="str">
        <f>IF(Table1[[#This Row],[Quantity]]*Table1[[#This Row],[Unit_Price]]=Table1[[#This Row],[Sales]],"Match","Mismatch")</f>
        <v>Match</v>
      </c>
      <c r="L155">
        <f>Table1[[#This Row],[Profit]]/Table1[[#This Row],[Sales]]*100</f>
        <v>100</v>
      </c>
    </row>
    <row r="156" spans="1:12" x14ac:dyDescent="0.25">
      <c r="A156" t="s">
        <v>164</v>
      </c>
      <c r="B156" s="1">
        <v>45605</v>
      </c>
      <c r="C156" t="s">
        <v>514</v>
      </c>
      <c r="D156" t="s">
        <v>551</v>
      </c>
      <c r="E156" t="s">
        <v>555</v>
      </c>
      <c r="F156" t="s">
        <v>575</v>
      </c>
      <c r="G156">
        <v>5</v>
      </c>
      <c r="H156">
        <v>494</v>
      </c>
      <c r="I156">
        <v>2470</v>
      </c>
      <c r="J156">
        <f t="shared" si="2"/>
        <v>2470</v>
      </c>
      <c r="K156" t="str">
        <f>IF(Table1[[#This Row],[Quantity]]*Table1[[#This Row],[Unit_Price]]=Table1[[#This Row],[Sales]],"Match","Mismatch")</f>
        <v>Match</v>
      </c>
      <c r="L156">
        <f>Table1[[#This Row],[Profit]]/Table1[[#This Row],[Sales]]*100</f>
        <v>100</v>
      </c>
    </row>
    <row r="157" spans="1:12" x14ac:dyDescent="0.25">
      <c r="A157" t="s">
        <v>165</v>
      </c>
      <c r="B157" s="1">
        <v>45454</v>
      </c>
      <c r="C157" t="s">
        <v>515</v>
      </c>
      <c r="D157" t="s">
        <v>552</v>
      </c>
      <c r="E157" t="s">
        <v>553</v>
      </c>
      <c r="F157" t="s">
        <v>562</v>
      </c>
      <c r="G157">
        <v>1</v>
      </c>
      <c r="H157">
        <v>2185</v>
      </c>
      <c r="I157">
        <v>2185</v>
      </c>
      <c r="J157">
        <f t="shared" si="2"/>
        <v>2185</v>
      </c>
      <c r="K157" t="str">
        <f>IF(Table1[[#This Row],[Quantity]]*Table1[[#This Row],[Unit_Price]]=Table1[[#This Row],[Sales]],"Match","Mismatch")</f>
        <v>Match</v>
      </c>
      <c r="L157">
        <f>Table1[[#This Row],[Profit]]/Table1[[#This Row],[Sales]]*100</f>
        <v>100</v>
      </c>
    </row>
    <row r="158" spans="1:12" x14ac:dyDescent="0.25">
      <c r="A158" t="s">
        <v>166</v>
      </c>
      <c r="B158" s="1">
        <v>45357</v>
      </c>
      <c r="C158" t="s">
        <v>473</v>
      </c>
      <c r="D158" t="s">
        <v>549</v>
      </c>
      <c r="E158" t="s">
        <v>553</v>
      </c>
      <c r="F158" t="s">
        <v>560</v>
      </c>
      <c r="G158">
        <v>7</v>
      </c>
      <c r="H158">
        <v>3317</v>
      </c>
      <c r="I158">
        <v>23219</v>
      </c>
      <c r="J158">
        <f t="shared" si="2"/>
        <v>23219</v>
      </c>
      <c r="K158" t="str">
        <f>IF(Table1[[#This Row],[Quantity]]*Table1[[#This Row],[Unit_Price]]=Table1[[#This Row],[Sales]],"Match","Mismatch")</f>
        <v>Match</v>
      </c>
      <c r="L158">
        <f>Table1[[#This Row],[Profit]]/Table1[[#This Row],[Sales]]*100</f>
        <v>100</v>
      </c>
    </row>
    <row r="159" spans="1:12" x14ac:dyDescent="0.25">
      <c r="A159" t="s">
        <v>167</v>
      </c>
      <c r="B159" s="1">
        <v>45402</v>
      </c>
      <c r="C159" t="s">
        <v>462</v>
      </c>
      <c r="D159" t="s">
        <v>552</v>
      </c>
      <c r="E159" t="s">
        <v>556</v>
      </c>
      <c r="F159" t="s">
        <v>569</v>
      </c>
      <c r="G159">
        <v>1</v>
      </c>
      <c r="H159">
        <v>1890</v>
      </c>
      <c r="I159">
        <v>1890</v>
      </c>
      <c r="J159">
        <f t="shared" si="2"/>
        <v>1890</v>
      </c>
      <c r="K159" t="str">
        <f>IF(Table1[[#This Row],[Quantity]]*Table1[[#This Row],[Unit_Price]]=Table1[[#This Row],[Sales]],"Match","Mismatch")</f>
        <v>Match</v>
      </c>
      <c r="L159">
        <f>Table1[[#This Row],[Profit]]/Table1[[#This Row],[Sales]]*100</f>
        <v>100</v>
      </c>
    </row>
    <row r="160" spans="1:12" x14ac:dyDescent="0.25">
      <c r="A160" t="s">
        <v>168</v>
      </c>
      <c r="B160" s="1">
        <v>45531</v>
      </c>
      <c r="C160" t="s">
        <v>516</v>
      </c>
      <c r="D160" t="s">
        <v>551</v>
      </c>
      <c r="E160" t="s">
        <v>553</v>
      </c>
      <c r="F160" t="s">
        <v>557</v>
      </c>
      <c r="G160">
        <v>4</v>
      </c>
      <c r="H160">
        <v>1336</v>
      </c>
      <c r="I160">
        <v>5344</v>
      </c>
      <c r="J160">
        <f t="shared" si="2"/>
        <v>5344</v>
      </c>
      <c r="K160" t="str">
        <f>IF(Table1[[#This Row],[Quantity]]*Table1[[#This Row],[Unit_Price]]=Table1[[#This Row],[Sales]],"Match","Mismatch")</f>
        <v>Match</v>
      </c>
      <c r="L160">
        <f>Table1[[#This Row],[Profit]]/Table1[[#This Row],[Sales]]*100</f>
        <v>100</v>
      </c>
    </row>
    <row r="161" spans="1:12" x14ac:dyDescent="0.25">
      <c r="A161" t="s">
        <v>169</v>
      </c>
      <c r="B161" s="1">
        <v>45388</v>
      </c>
      <c r="C161" t="s">
        <v>472</v>
      </c>
      <c r="D161" t="s">
        <v>550</v>
      </c>
      <c r="E161" t="s">
        <v>556</v>
      </c>
      <c r="F161" t="s">
        <v>565</v>
      </c>
      <c r="G161">
        <v>9</v>
      </c>
      <c r="H161">
        <v>2264</v>
      </c>
      <c r="I161">
        <v>20376</v>
      </c>
      <c r="J161">
        <f t="shared" si="2"/>
        <v>20376</v>
      </c>
      <c r="K161" t="str">
        <f>IF(Table1[[#This Row],[Quantity]]*Table1[[#This Row],[Unit_Price]]=Table1[[#This Row],[Sales]],"Match","Mismatch")</f>
        <v>Match</v>
      </c>
      <c r="L161">
        <f>Table1[[#This Row],[Profit]]/Table1[[#This Row],[Sales]]*100</f>
        <v>100</v>
      </c>
    </row>
    <row r="162" spans="1:12" x14ac:dyDescent="0.25">
      <c r="A162" t="s">
        <v>170</v>
      </c>
      <c r="B162" s="1">
        <v>45416</v>
      </c>
      <c r="C162" t="s">
        <v>459</v>
      </c>
      <c r="D162" t="s">
        <v>549</v>
      </c>
      <c r="E162" t="s">
        <v>553</v>
      </c>
      <c r="F162" t="s">
        <v>571</v>
      </c>
      <c r="G162">
        <v>1</v>
      </c>
      <c r="H162">
        <v>4655</v>
      </c>
      <c r="I162">
        <v>4655</v>
      </c>
      <c r="J162">
        <f t="shared" si="2"/>
        <v>4655</v>
      </c>
      <c r="K162" t="str">
        <f>IF(Table1[[#This Row],[Quantity]]*Table1[[#This Row],[Unit_Price]]=Table1[[#This Row],[Sales]],"Match","Mismatch")</f>
        <v>Match</v>
      </c>
      <c r="L162">
        <f>Table1[[#This Row],[Profit]]/Table1[[#This Row],[Sales]]*100</f>
        <v>100</v>
      </c>
    </row>
    <row r="163" spans="1:12" x14ac:dyDescent="0.25">
      <c r="A163" t="s">
        <v>171</v>
      </c>
      <c r="B163" s="1">
        <v>45527</v>
      </c>
      <c r="C163" t="s">
        <v>517</v>
      </c>
      <c r="D163" t="s">
        <v>551</v>
      </c>
      <c r="E163" t="s">
        <v>554</v>
      </c>
      <c r="F163" t="s">
        <v>558</v>
      </c>
      <c r="G163">
        <v>4</v>
      </c>
      <c r="H163">
        <v>4995</v>
      </c>
      <c r="I163">
        <v>19980</v>
      </c>
      <c r="J163">
        <f t="shared" si="2"/>
        <v>19980</v>
      </c>
      <c r="K163" t="str">
        <f>IF(Table1[[#This Row],[Quantity]]*Table1[[#This Row],[Unit_Price]]=Table1[[#This Row],[Sales]],"Match","Mismatch")</f>
        <v>Match</v>
      </c>
      <c r="L163">
        <f>Table1[[#This Row],[Profit]]/Table1[[#This Row],[Sales]]*100</f>
        <v>100</v>
      </c>
    </row>
    <row r="164" spans="1:12" x14ac:dyDescent="0.25">
      <c r="A164" t="s">
        <v>172</v>
      </c>
      <c r="B164" s="1">
        <v>45433</v>
      </c>
      <c r="C164" t="s">
        <v>518</v>
      </c>
      <c r="D164" t="s">
        <v>550</v>
      </c>
      <c r="E164" t="s">
        <v>554</v>
      </c>
      <c r="F164" t="s">
        <v>573</v>
      </c>
      <c r="G164">
        <v>6</v>
      </c>
      <c r="H164">
        <v>4743</v>
      </c>
      <c r="I164">
        <v>28458</v>
      </c>
      <c r="J164">
        <f t="shared" si="2"/>
        <v>28458</v>
      </c>
      <c r="K164" t="str">
        <f>IF(Table1[[#This Row],[Quantity]]*Table1[[#This Row],[Unit_Price]]=Table1[[#This Row],[Sales]],"Match","Mismatch")</f>
        <v>Match</v>
      </c>
      <c r="L164">
        <f>Table1[[#This Row],[Profit]]/Table1[[#This Row],[Sales]]*100</f>
        <v>100</v>
      </c>
    </row>
    <row r="165" spans="1:12" x14ac:dyDescent="0.25">
      <c r="A165" t="s">
        <v>173</v>
      </c>
      <c r="B165" s="1">
        <v>45542</v>
      </c>
      <c r="C165" t="s">
        <v>477</v>
      </c>
      <c r="D165" t="s">
        <v>550</v>
      </c>
      <c r="E165" t="s">
        <v>554</v>
      </c>
      <c r="F165" t="s">
        <v>572</v>
      </c>
      <c r="G165">
        <v>6</v>
      </c>
      <c r="H165">
        <v>4970</v>
      </c>
      <c r="I165">
        <v>29820</v>
      </c>
      <c r="J165">
        <f t="shared" si="2"/>
        <v>29820</v>
      </c>
      <c r="K165" t="str">
        <f>IF(Table1[[#This Row],[Quantity]]*Table1[[#This Row],[Unit_Price]]=Table1[[#This Row],[Sales]],"Match","Mismatch")</f>
        <v>Match</v>
      </c>
      <c r="L165">
        <f>Table1[[#This Row],[Profit]]/Table1[[#This Row],[Sales]]*100</f>
        <v>100</v>
      </c>
    </row>
    <row r="166" spans="1:12" x14ac:dyDescent="0.25">
      <c r="A166" t="s">
        <v>174</v>
      </c>
      <c r="B166" s="1">
        <v>45636</v>
      </c>
      <c r="C166" t="s">
        <v>502</v>
      </c>
      <c r="D166" t="s">
        <v>552</v>
      </c>
      <c r="E166" t="s">
        <v>553</v>
      </c>
      <c r="F166" t="s">
        <v>571</v>
      </c>
      <c r="G166">
        <v>8</v>
      </c>
      <c r="H166">
        <v>1207</v>
      </c>
      <c r="I166">
        <v>9656</v>
      </c>
      <c r="J166">
        <f t="shared" si="2"/>
        <v>9656</v>
      </c>
      <c r="K166" t="str">
        <f>IF(Table1[[#This Row],[Quantity]]*Table1[[#This Row],[Unit_Price]]=Table1[[#This Row],[Sales]],"Match","Mismatch")</f>
        <v>Match</v>
      </c>
      <c r="L166">
        <f>Table1[[#This Row],[Profit]]/Table1[[#This Row],[Sales]]*100</f>
        <v>100</v>
      </c>
    </row>
    <row r="167" spans="1:12" x14ac:dyDescent="0.25">
      <c r="A167" t="s">
        <v>175</v>
      </c>
      <c r="B167" s="1">
        <v>45412</v>
      </c>
      <c r="C167" t="s">
        <v>492</v>
      </c>
      <c r="D167" t="s">
        <v>551</v>
      </c>
      <c r="E167" t="s">
        <v>556</v>
      </c>
      <c r="F167" t="s">
        <v>565</v>
      </c>
      <c r="G167">
        <v>1</v>
      </c>
      <c r="H167">
        <v>2714</v>
      </c>
      <c r="I167">
        <v>2714</v>
      </c>
      <c r="J167">
        <f t="shared" si="2"/>
        <v>2714</v>
      </c>
      <c r="K167" t="str">
        <f>IF(Table1[[#This Row],[Quantity]]*Table1[[#This Row],[Unit_Price]]=Table1[[#This Row],[Sales]],"Match","Mismatch")</f>
        <v>Match</v>
      </c>
      <c r="L167">
        <f>Table1[[#This Row],[Profit]]/Table1[[#This Row],[Sales]]*100</f>
        <v>100</v>
      </c>
    </row>
    <row r="168" spans="1:12" x14ac:dyDescent="0.25">
      <c r="A168" t="s">
        <v>176</v>
      </c>
      <c r="B168" s="1">
        <v>45578</v>
      </c>
      <c r="C168" t="s">
        <v>421</v>
      </c>
      <c r="D168" t="s">
        <v>550</v>
      </c>
      <c r="E168" t="s">
        <v>556</v>
      </c>
      <c r="F168" t="s">
        <v>561</v>
      </c>
      <c r="G168">
        <v>7</v>
      </c>
      <c r="H168">
        <v>3726</v>
      </c>
      <c r="I168">
        <v>26082</v>
      </c>
      <c r="J168">
        <f t="shared" si="2"/>
        <v>26082</v>
      </c>
      <c r="K168" t="str">
        <f>IF(Table1[[#This Row],[Quantity]]*Table1[[#This Row],[Unit_Price]]=Table1[[#This Row],[Sales]],"Match","Mismatch")</f>
        <v>Match</v>
      </c>
      <c r="L168">
        <f>Table1[[#This Row],[Profit]]/Table1[[#This Row],[Sales]]*100</f>
        <v>100</v>
      </c>
    </row>
    <row r="169" spans="1:12" x14ac:dyDescent="0.25">
      <c r="A169" t="s">
        <v>177</v>
      </c>
      <c r="B169" s="1">
        <v>45620</v>
      </c>
      <c r="C169" t="s">
        <v>425</v>
      </c>
      <c r="D169" t="s">
        <v>549</v>
      </c>
      <c r="E169" t="s">
        <v>553</v>
      </c>
      <c r="F169" t="s">
        <v>562</v>
      </c>
      <c r="G169">
        <v>1</v>
      </c>
      <c r="H169">
        <v>4881</v>
      </c>
      <c r="I169">
        <v>4881</v>
      </c>
      <c r="J169">
        <f t="shared" si="2"/>
        <v>4881</v>
      </c>
      <c r="K169" t="str">
        <f>IF(Table1[[#This Row],[Quantity]]*Table1[[#This Row],[Unit_Price]]=Table1[[#This Row],[Sales]],"Match","Mismatch")</f>
        <v>Match</v>
      </c>
      <c r="L169">
        <f>Table1[[#This Row],[Profit]]/Table1[[#This Row],[Sales]]*100</f>
        <v>100</v>
      </c>
    </row>
    <row r="170" spans="1:12" x14ac:dyDescent="0.25">
      <c r="A170" t="s">
        <v>178</v>
      </c>
      <c r="B170" s="1">
        <v>45547</v>
      </c>
      <c r="C170" t="s">
        <v>509</v>
      </c>
      <c r="D170" t="s">
        <v>549</v>
      </c>
      <c r="E170" t="s">
        <v>554</v>
      </c>
      <c r="F170" t="s">
        <v>558</v>
      </c>
      <c r="G170">
        <v>7</v>
      </c>
      <c r="H170">
        <v>1447</v>
      </c>
      <c r="I170">
        <v>10129</v>
      </c>
      <c r="J170">
        <f t="shared" si="2"/>
        <v>10129</v>
      </c>
      <c r="K170" t="str">
        <f>IF(Table1[[#This Row],[Quantity]]*Table1[[#This Row],[Unit_Price]]=Table1[[#This Row],[Sales]],"Match","Mismatch")</f>
        <v>Match</v>
      </c>
      <c r="L170">
        <f>Table1[[#This Row],[Profit]]/Table1[[#This Row],[Sales]]*100</f>
        <v>100</v>
      </c>
    </row>
    <row r="171" spans="1:12" x14ac:dyDescent="0.25">
      <c r="A171" t="s">
        <v>179</v>
      </c>
      <c r="B171" s="1">
        <v>45467</v>
      </c>
      <c r="C171" t="s">
        <v>411</v>
      </c>
      <c r="D171" t="s">
        <v>552</v>
      </c>
      <c r="E171" t="s">
        <v>554</v>
      </c>
      <c r="F171" t="s">
        <v>572</v>
      </c>
      <c r="G171">
        <v>3</v>
      </c>
      <c r="H171">
        <v>4102</v>
      </c>
      <c r="I171">
        <v>12306</v>
      </c>
      <c r="J171">
        <f t="shared" si="2"/>
        <v>12306</v>
      </c>
      <c r="K171" t="str">
        <f>IF(Table1[[#This Row],[Quantity]]*Table1[[#This Row],[Unit_Price]]=Table1[[#This Row],[Sales]],"Match","Mismatch")</f>
        <v>Match</v>
      </c>
      <c r="L171">
        <f>Table1[[#This Row],[Profit]]/Table1[[#This Row],[Sales]]*100</f>
        <v>100</v>
      </c>
    </row>
    <row r="172" spans="1:12" x14ac:dyDescent="0.25">
      <c r="A172" t="s">
        <v>180</v>
      </c>
      <c r="B172" s="1">
        <v>45650</v>
      </c>
      <c r="C172" t="s">
        <v>436</v>
      </c>
      <c r="D172" t="s">
        <v>550</v>
      </c>
      <c r="E172" t="s">
        <v>556</v>
      </c>
      <c r="F172" t="s">
        <v>565</v>
      </c>
      <c r="G172">
        <v>8</v>
      </c>
      <c r="H172">
        <v>1635</v>
      </c>
      <c r="I172">
        <v>13080</v>
      </c>
      <c r="J172">
        <f t="shared" si="2"/>
        <v>13080</v>
      </c>
      <c r="K172" t="str">
        <f>IF(Table1[[#This Row],[Quantity]]*Table1[[#This Row],[Unit_Price]]=Table1[[#This Row],[Sales]],"Match","Mismatch")</f>
        <v>Match</v>
      </c>
      <c r="L172">
        <f>Table1[[#This Row],[Profit]]/Table1[[#This Row],[Sales]]*100</f>
        <v>100</v>
      </c>
    </row>
    <row r="173" spans="1:12" x14ac:dyDescent="0.25">
      <c r="A173" t="s">
        <v>181</v>
      </c>
      <c r="B173" s="1">
        <v>45424</v>
      </c>
      <c r="C173" t="s">
        <v>519</v>
      </c>
      <c r="D173" t="s">
        <v>551</v>
      </c>
      <c r="E173" t="s">
        <v>554</v>
      </c>
      <c r="F173" t="s">
        <v>574</v>
      </c>
      <c r="G173">
        <v>3</v>
      </c>
      <c r="H173">
        <v>771</v>
      </c>
      <c r="I173">
        <v>2313</v>
      </c>
      <c r="J173">
        <f t="shared" si="2"/>
        <v>2313</v>
      </c>
      <c r="K173" t="str">
        <f>IF(Table1[[#This Row],[Quantity]]*Table1[[#This Row],[Unit_Price]]=Table1[[#This Row],[Sales]],"Match","Mismatch")</f>
        <v>Match</v>
      </c>
      <c r="L173">
        <f>Table1[[#This Row],[Profit]]/Table1[[#This Row],[Sales]]*100</f>
        <v>100</v>
      </c>
    </row>
    <row r="174" spans="1:12" x14ac:dyDescent="0.25">
      <c r="A174" t="s">
        <v>182</v>
      </c>
      <c r="B174" s="1">
        <v>45618</v>
      </c>
      <c r="C174" t="s">
        <v>520</v>
      </c>
      <c r="D174" t="s">
        <v>549</v>
      </c>
      <c r="E174" t="s">
        <v>555</v>
      </c>
      <c r="F174" t="s">
        <v>567</v>
      </c>
      <c r="G174">
        <v>1</v>
      </c>
      <c r="H174">
        <v>2582</v>
      </c>
      <c r="I174">
        <v>2582</v>
      </c>
      <c r="J174">
        <f t="shared" si="2"/>
        <v>2582</v>
      </c>
      <c r="K174" t="str">
        <f>IF(Table1[[#This Row],[Quantity]]*Table1[[#This Row],[Unit_Price]]=Table1[[#This Row],[Sales]],"Match","Mismatch")</f>
        <v>Match</v>
      </c>
      <c r="L174">
        <f>Table1[[#This Row],[Profit]]/Table1[[#This Row],[Sales]]*100</f>
        <v>100</v>
      </c>
    </row>
    <row r="175" spans="1:12" x14ac:dyDescent="0.25">
      <c r="A175" t="s">
        <v>183</v>
      </c>
      <c r="B175" s="1">
        <v>45304</v>
      </c>
      <c r="C175" t="s">
        <v>480</v>
      </c>
      <c r="D175" t="s">
        <v>550</v>
      </c>
      <c r="E175" t="s">
        <v>556</v>
      </c>
      <c r="F175" t="s">
        <v>561</v>
      </c>
      <c r="G175">
        <v>8</v>
      </c>
      <c r="H175">
        <v>1445</v>
      </c>
      <c r="I175">
        <v>11560</v>
      </c>
      <c r="J175">
        <f t="shared" si="2"/>
        <v>11560</v>
      </c>
      <c r="K175" t="str">
        <f>IF(Table1[[#This Row],[Quantity]]*Table1[[#This Row],[Unit_Price]]=Table1[[#This Row],[Sales]],"Match","Mismatch")</f>
        <v>Match</v>
      </c>
      <c r="L175">
        <f>Table1[[#This Row],[Profit]]/Table1[[#This Row],[Sales]]*100</f>
        <v>100</v>
      </c>
    </row>
    <row r="176" spans="1:12" x14ac:dyDescent="0.25">
      <c r="A176" t="s">
        <v>184</v>
      </c>
      <c r="B176" s="1">
        <v>45458</v>
      </c>
      <c r="C176" t="s">
        <v>437</v>
      </c>
      <c r="D176" t="s">
        <v>550</v>
      </c>
      <c r="E176" t="s">
        <v>554</v>
      </c>
      <c r="F176" t="s">
        <v>558</v>
      </c>
      <c r="G176">
        <v>3</v>
      </c>
      <c r="H176">
        <v>2284</v>
      </c>
      <c r="I176">
        <v>6852</v>
      </c>
      <c r="J176">
        <f t="shared" si="2"/>
        <v>6852</v>
      </c>
      <c r="K176" t="str">
        <f>IF(Table1[[#This Row],[Quantity]]*Table1[[#This Row],[Unit_Price]]=Table1[[#This Row],[Sales]],"Match","Mismatch")</f>
        <v>Match</v>
      </c>
      <c r="L176">
        <f>Table1[[#This Row],[Profit]]/Table1[[#This Row],[Sales]]*100</f>
        <v>100</v>
      </c>
    </row>
    <row r="177" spans="1:12" x14ac:dyDescent="0.25">
      <c r="A177" t="s">
        <v>185</v>
      </c>
      <c r="B177" s="1">
        <v>45332</v>
      </c>
      <c r="C177" t="s">
        <v>494</v>
      </c>
      <c r="D177" t="s">
        <v>552</v>
      </c>
      <c r="E177" t="s">
        <v>556</v>
      </c>
      <c r="F177" t="s">
        <v>569</v>
      </c>
      <c r="G177">
        <v>2</v>
      </c>
      <c r="H177">
        <v>477</v>
      </c>
      <c r="I177">
        <v>954</v>
      </c>
      <c r="J177">
        <f t="shared" si="2"/>
        <v>954</v>
      </c>
      <c r="K177" t="str">
        <f>IF(Table1[[#This Row],[Quantity]]*Table1[[#This Row],[Unit_Price]]=Table1[[#This Row],[Sales]],"Match","Mismatch")</f>
        <v>Match</v>
      </c>
      <c r="L177">
        <f>Table1[[#This Row],[Profit]]/Table1[[#This Row],[Sales]]*100</f>
        <v>100</v>
      </c>
    </row>
    <row r="178" spans="1:12" x14ac:dyDescent="0.25">
      <c r="A178" t="s">
        <v>186</v>
      </c>
      <c r="B178" s="1">
        <v>45300</v>
      </c>
      <c r="C178" t="s">
        <v>482</v>
      </c>
      <c r="D178" t="s">
        <v>549</v>
      </c>
      <c r="E178" t="s">
        <v>555</v>
      </c>
      <c r="F178" t="s">
        <v>559</v>
      </c>
      <c r="G178">
        <v>1</v>
      </c>
      <c r="H178">
        <v>2087</v>
      </c>
      <c r="I178">
        <v>2087</v>
      </c>
      <c r="J178">
        <f t="shared" si="2"/>
        <v>2087</v>
      </c>
      <c r="K178" t="str">
        <f>IF(Table1[[#This Row],[Quantity]]*Table1[[#This Row],[Unit_Price]]=Table1[[#This Row],[Sales]],"Match","Mismatch")</f>
        <v>Match</v>
      </c>
      <c r="L178">
        <f>Table1[[#This Row],[Profit]]/Table1[[#This Row],[Sales]]*100</f>
        <v>100</v>
      </c>
    </row>
    <row r="179" spans="1:12" x14ac:dyDescent="0.25">
      <c r="A179" t="s">
        <v>187</v>
      </c>
      <c r="B179" s="1">
        <v>45304</v>
      </c>
      <c r="C179" t="s">
        <v>514</v>
      </c>
      <c r="D179" t="s">
        <v>549</v>
      </c>
      <c r="E179" t="s">
        <v>556</v>
      </c>
      <c r="F179" t="s">
        <v>565</v>
      </c>
      <c r="G179">
        <v>3</v>
      </c>
      <c r="H179">
        <v>4779</v>
      </c>
      <c r="I179">
        <v>14337</v>
      </c>
      <c r="J179">
        <f t="shared" si="2"/>
        <v>14337</v>
      </c>
      <c r="K179" t="str">
        <f>IF(Table1[[#This Row],[Quantity]]*Table1[[#This Row],[Unit_Price]]=Table1[[#This Row],[Sales]],"Match","Mismatch")</f>
        <v>Match</v>
      </c>
      <c r="L179">
        <f>Table1[[#This Row],[Profit]]/Table1[[#This Row],[Sales]]*100</f>
        <v>100</v>
      </c>
    </row>
    <row r="180" spans="1:12" x14ac:dyDescent="0.25">
      <c r="A180" t="s">
        <v>188</v>
      </c>
      <c r="B180" s="1">
        <v>45402</v>
      </c>
      <c r="C180" t="s">
        <v>521</v>
      </c>
      <c r="D180" t="s">
        <v>551</v>
      </c>
      <c r="E180" t="s">
        <v>556</v>
      </c>
      <c r="F180" t="s">
        <v>569</v>
      </c>
      <c r="G180">
        <v>2</v>
      </c>
      <c r="H180">
        <v>1465</v>
      </c>
      <c r="I180">
        <v>2930</v>
      </c>
      <c r="J180">
        <f t="shared" si="2"/>
        <v>2930</v>
      </c>
      <c r="K180" t="str">
        <f>IF(Table1[[#This Row],[Quantity]]*Table1[[#This Row],[Unit_Price]]=Table1[[#This Row],[Sales]],"Match","Mismatch")</f>
        <v>Match</v>
      </c>
      <c r="L180">
        <f>Table1[[#This Row],[Profit]]/Table1[[#This Row],[Sales]]*100</f>
        <v>100</v>
      </c>
    </row>
    <row r="181" spans="1:12" x14ac:dyDescent="0.25">
      <c r="A181" t="s">
        <v>189</v>
      </c>
      <c r="B181" s="1">
        <v>45308</v>
      </c>
      <c r="C181" t="s">
        <v>522</v>
      </c>
      <c r="D181" t="s">
        <v>549</v>
      </c>
      <c r="E181" t="s">
        <v>556</v>
      </c>
      <c r="F181" t="s">
        <v>569</v>
      </c>
      <c r="G181">
        <v>2</v>
      </c>
      <c r="H181">
        <v>1240</v>
      </c>
      <c r="I181">
        <v>2480</v>
      </c>
      <c r="J181">
        <f t="shared" si="2"/>
        <v>2480</v>
      </c>
      <c r="K181" t="str">
        <f>IF(Table1[[#This Row],[Quantity]]*Table1[[#This Row],[Unit_Price]]=Table1[[#This Row],[Sales]],"Match","Mismatch")</f>
        <v>Match</v>
      </c>
      <c r="L181">
        <f>Table1[[#This Row],[Profit]]/Table1[[#This Row],[Sales]]*100</f>
        <v>100</v>
      </c>
    </row>
    <row r="182" spans="1:12" x14ac:dyDescent="0.25">
      <c r="A182" t="s">
        <v>190</v>
      </c>
      <c r="B182" s="1">
        <v>45422</v>
      </c>
      <c r="C182" t="s">
        <v>417</v>
      </c>
      <c r="D182" t="s">
        <v>551</v>
      </c>
      <c r="E182" t="s">
        <v>556</v>
      </c>
      <c r="F182" t="s">
        <v>561</v>
      </c>
      <c r="G182">
        <v>6</v>
      </c>
      <c r="H182">
        <v>1117</v>
      </c>
      <c r="I182">
        <v>6702</v>
      </c>
      <c r="J182">
        <f t="shared" si="2"/>
        <v>6702</v>
      </c>
      <c r="K182" t="str">
        <f>IF(Table1[[#This Row],[Quantity]]*Table1[[#This Row],[Unit_Price]]=Table1[[#This Row],[Sales]],"Match","Mismatch")</f>
        <v>Match</v>
      </c>
      <c r="L182">
        <f>Table1[[#This Row],[Profit]]/Table1[[#This Row],[Sales]]*100</f>
        <v>100</v>
      </c>
    </row>
    <row r="183" spans="1:12" x14ac:dyDescent="0.25">
      <c r="A183" t="s">
        <v>191</v>
      </c>
      <c r="B183" s="1">
        <v>45548</v>
      </c>
      <c r="C183" t="s">
        <v>523</v>
      </c>
      <c r="D183" t="s">
        <v>549</v>
      </c>
      <c r="E183" t="s">
        <v>555</v>
      </c>
      <c r="F183" t="s">
        <v>570</v>
      </c>
      <c r="G183">
        <v>1</v>
      </c>
      <c r="H183">
        <v>1085</v>
      </c>
      <c r="I183">
        <v>1085</v>
      </c>
      <c r="J183">
        <f t="shared" si="2"/>
        <v>1085</v>
      </c>
      <c r="K183" t="str">
        <f>IF(Table1[[#This Row],[Quantity]]*Table1[[#This Row],[Unit_Price]]=Table1[[#This Row],[Sales]],"Match","Mismatch")</f>
        <v>Match</v>
      </c>
      <c r="L183">
        <f>Table1[[#This Row],[Profit]]/Table1[[#This Row],[Sales]]*100</f>
        <v>100</v>
      </c>
    </row>
    <row r="184" spans="1:12" x14ac:dyDescent="0.25">
      <c r="A184" t="s">
        <v>192</v>
      </c>
      <c r="B184" s="1">
        <v>45307</v>
      </c>
      <c r="C184" t="s">
        <v>524</v>
      </c>
      <c r="D184" t="s">
        <v>552</v>
      </c>
      <c r="E184" t="s">
        <v>553</v>
      </c>
      <c r="F184" t="s">
        <v>560</v>
      </c>
      <c r="G184">
        <v>2</v>
      </c>
      <c r="H184">
        <v>2952</v>
      </c>
      <c r="I184">
        <v>5904</v>
      </c>
      <c r="J184">
        <f t="shared" si="2"/>
        <v>5904</v>
      </c>
      <c r="K184" t="str">
        <f>IF(Table1[[#This Row],[Quantity]]*Table1[[#This Row],[Unit_Price]]=Table1[[#This Row],[Sales]],"Match","Mismatch")</f>
        <v>Match</v>
      </c>
      <c r="L184">
        <f>Table1[[#This Row],[Profit]]/Table1[[#This Row],[Sales]]*100</f>
        <v>100</v>
      </c>
    </row>
    <row r="185" spans="1:12" x14ac:dyDescent="0.25">
      <c r="A185" t="s">
        <v>193</v>
      </c>
      <c r="B185" s="1">
        <v>45492</v>
      </c>
      <c r="C185" t="s">
        <v>500</v>
      </c>
      <c r="D185" t="s">
        <v>549</v>
      </c>
      <c r="E185" t="s">
        <v>556</v>
      </c>
      <c r="F185" t="s">
        <v>569</v>
      </c>
      <c r="G185">
        <v>6</v>
      </c>
      <c r="H185">
        <v>221</v>
      </c>
      <c r="I185">
        <v>1326</v>
      </c>
      <c r="J185">
        <f t="shared" si="2"/>
        <v>1326</v>
      </c>
      <c r="K185" t="str">
        <f>IF(Table1[[#This Row],[Quantity]]*Table1[[#This Row],[Unit_Price]]=Table1[[#This Row],[Sales]],"Match","Mismatch")</f>
        <v>Match</v>
      </c>
      <c r="L185">
        <f>Table1[[#This Row],[Profit]]/Table1[[#This Row],[Sales]]*100</f>
        <v>100</v>
      </c>
    </row>
    <row r="186" spans="1:12" x14ac:dyDescent="0.25">
      <c r="A186" t="s">
        <v>194</v>
      </c>
      <c r="B186" s="1">
        <v>45490</v>
      </c>
      <c r="C186" t="s">
        <v>422</v>
      </c>
      <c r="D186" t="s">
        <v>551</v>
      </c>
      <c r="E186" t="s">
        <v>556</v>
      </c>
      <c r="F186" t="s">
        <v>569</v>
      </c>
      <c r="G186">
        <v>3</v>
      </c>
      <c r="H186">
        <v>4769</v>
      </c>
      <c r="I186">
        <v>14307</v>
      </c>
      <c r="J186">
        <f t="shared" si="2"/>
        <v>14307</v>
      </c>
      <c r="K186" t="str">
        <f>IF(Table1[[#This Row],[Quantity]]*Table1[[#This Row],[Unit_Price]]=Table1[[#This Row],[Sales]],"Match","Mismatch")</f>
        <v>Match</v>
      </c>
      <c r="L186">
        <f>Table1[[#This Row],[Profit]]/Table1[[#This Row],[Sales]]*100</f>
        <v>100</v>
      </c>
    </row>
    <row r="187" spans="1:12" x14ac:dyDescent="0.25">
      <c r="A187" t="s">
        <v>195</v>
      </c>
      <c r="B187" s="1">
        <v>45509</v>
      </c>
      <c r="C187" t="s">
        <v>443</v>
      </c>
      <c r="D187" t="s">
        <v>551</v>
      </c>
      <c r="E187" t="s">
        <v>554</v>
      </c>
      <c r="F187" t="s">
        <v>574</v>
      </c>
      <c r="G187">
        <v>4</v>
      </c>
      <c r="H187">
        <v>3391</v>
      </c>
      <c r="I187">
        <v>13564</v>
      </c>
      <c r="J187">
        <f t="shared" si="2"/>
        <v>13564</v>
      </c>
      <c r="K187" t="str">
        <f>IF(Table1[[#This Row],[Quantity]]*Table1[[#This Row],[Unit_Price]]=Table1[[#This Row],[Sales]],"Match","Mismatch")</f>
        <v>Match</v>
      </c>
      <c r="L187">
        <f>Table1[[#This Row],[Profit]]/Table1[[#This Row],[Sales]]*100</f>
        <v>100</v>
      </c>
    </row>
    <row r="188" spans="1:12" x14ac:dyDescent="0.25">
      <c r="A188" t="s">
        <v>196</v>
      </c>
      <c r="B188" s="1">
        <v>45572</v>
      </c>
      <c r="C188" t="s">
        <v>521</v>
      </c>
      <c r="D188" t="s">
        <v>552</v>
      </c>
      <c r="E188" t="s">
        <v>556</v>
      </c>
      <c r="F188" t="s">
        <v>568</v>
      </c>
      <c r="G188">
        <v>1</v>
      </c>
      <c r="H188">
        <v>2553</v>
      </c>
      <c r="I188">
        <v>2553</v>
      </c>
      <c r="J188">
        <f t="shared" si="2"/>
        <v>2553</v>
      </c>
      <c r="K188" t="str">
        <f>IF(Table1[[#This Row],[Quantity]]*Table1[[#This Row],[Unit_Price]]=Table1[[#This Row],[Sales]],"Match","Mismatch")</f>
        <v>Match</v>
      </c>
      <c r="L188">
        <f>Table1[[#This Row],[Profit]]/Table1[[#This Row],[Sales]]*100</f>
        <v>100</v>
      </c>
    </row>
    <row r="189" spans="1:12" x14ac:dyDescent="0.25">
      <c r="A189" t="s">
        <v>197</v>
      </c>
      <c r="B189" s="1">
        <v>45467</v>
      </c>
      <c r="C189" t="s">
        <v>514</v>
      </c>
      <c r="D189" t="s">
        <v>549</v>
      </c>
      <c r="E189" t="s">
        <v>554</v>
      </c>
      <c r="F189" t="s">
        <v>573</v>
      </c>
      <c r="G189">
        <v>8</v>
      </c>
      <c r="H189">
        <v>4999</v>
      </c>
      <c r="I189">
        <v>39992</v>
      </c>
      <c r="J189">
        <f t="shared" si="2"/>
        <v>39992</v>
      </c>
      <c r="K189" t="str">
        <f>IF(Table1[[#This Row],[Quantity]]*Table1[[#This Row],[Unit_Price]]=Table1[[#This Row],[Sales]],"Match","Mismatch")</f>
        <v>Match</v>
      </c>
      <c r="L189">
        <f>Table1[[#This Row],[Profit]]/Table1[[#This Row],[Sales]]*100</f>
        <v>100</v>
      </c>
    </row>
    <row r="190" spans="1:12" x14ac:dyDescent="0.25">
      <c r="A190" t="s">
        <v>198</v>
      </c>
      <c r="B190" s="1">
        <v>45631</v>
      </c>
      <c r="C190" t="s">
        <v>454</v>
      </c>
      <c r="D190" t="s">
        <v>549</v>
      </c>
      <c r="E190" t="s">
        <v>553</v>
      </c>
      <c r="F190" t="s">
        <v>557</v>
      </c>
      <c r="G190">
        <v>7</v>
      </c>
      <c r="H190">
        <v>886</v>
      </c>
      <c r="I190">
        <v>6202</v>
      </c>
      <c r="J190">
        <f t="shared" si="2"/>
        <v>6202</v>
      </c>
      <c r="K190" t="str">
        <f>IF(Table1[[#This Row],[Quantity]]*Table1[[#This Row],[Unit_Price]]=Table1[[#This Row],[Sales]],"Match","Mismatch")</f>
        <v>Match</v>
      </c>
      <c r="L190">
        <f>Table1[[#This Row],[Profit]]/Table1[[#This Row],[Sales]]*100</f>
        <v>100</v>
      </c>
    </row>
    <row r="191" spans="1:12" x14ac:dyDescent="0.25">
      <c r="A191" t="s">
        <v>199</v>
      </c>
      <c r="B191" s="1">
        <v>45370</v>
      </c>
      <c r="C191" t="s">
        <v>463</v>
      </c>
      <c r="D191" t="s">
        <v>552</v>
      </c>
      <c r="E191" t="s">
        <v>555</v>
      </c>
      <c r="F191" t="s">
        <v>570</v>
      </c>
      <c r="G191">
        <v>7</v>
      </c>
      <c r="H191">
        <v>484</v>
      </c>
      <c r="I191">
        <v>3388</v>
      </c>
      <c r="J191">
        <f t="shared" si="2"/>
        <v>3388</v>
      </c>
      <c r="K191" t="str">
        <f>IF(Table1[[#This Row],[Quantity]]*Table1[[#This Row],[Unit_Price]]=Table1[[#This Row],[Sales]],"Match","Mismatch")</f>
        <v>Match</v>
      </c>
      <c r="L191">
        <f>Table1[[#This Row],[Profit]]/Table1[[#This Row],[Sales]]*100</f>
        <v>100</v>
      </c>
    </row>
    <row r="192" spans="1:12" x14ac:dyDescent="0.25">
      <c r="A192" t="s">
        <v>200</v>
      </c>
      <c r="B192" s="1">
        <v>45548</v>
      </c>
      <c r="C192" t="s">
        <v>425</v>
      </c>
      <c r="D192" t="s">
        <v>549</v>
      </c>
      <c r="E192" t="s">
        <v>555</v>
      </c>
      <c r="F192" t="s">
        <v>567</v>
      </c>
      <c r="G192">
        <v>3</v>
      </c>
      <c r="H192">
        <v>3947</v>
      </c>
      <c r="I192">
        <v>11841</v>
      </c>
      <c r="J192">
        <f t="shared" si="2"/>
        <v>11841</v>
      </c>
      <c r="K192" t="str">
        <f>IF(Table1[[#This Row],[Quantity]]*Table1[[#This Row],[Unit_Price]]=Table1[[#This Row],[Sales]],"Match","Mismatch")</f>
        <v>Match</v>
      </c>
      <c r="L192">
        <f>Table1[[#This Row],[Profit]]/Table1[[#This Row],[Sales]]*100</f>
        <v>100</v>
      </c>
    </row>
    <row r="193" spans="1:12" x14ac:dyDescent="0.25">
      <c r="A193" t="s">
        <v>201</v>
      </c>
      <c r="B193" s="1">
        <v>45417</v>
      </c>
      <c r="C193" t="s">
        <v>525</v>
      </c>
      <c r="D193" t="s">
        <v>549</v>
      </c>
      <c r="E193" t="s">
        <v>553</v>
      </c>
      <c r="F193" t="s">
        <v>557</v>
      </c>
      <c r="G193">
        <v>3</v>
      </c>
      <c r="H193">
        <v>962</v>
      </c>
      <c r="I193">
        <v>2886</v>
      </c>
      <c r="J193">
        <f t="shared" si="2"/>
        <v>2886</v>
      </c>
      <c r="K193" t="str">
        <f>IF(Table1[[#This Row],[Quantity]]*Table1[[#This Row],[Unit_Price]]=Table1[[#This Row],[Sales]],"Match","Mismatch")</f>
        <v>Match</v>
      </c>
      <c r="L193">
        <f>Table1[[#This Row],[Profit]]/Table1[[#This Row],[Sales]]*100</f>
        <v>100</v>
      </c>
    </row>
    <row r="194" spans="1:12" x14ac:dyDescent="0.25">
      <c r="A194" t="s">
        <v>202</v>
      </c>
      <c r="B194" s="1">
        <v>45306</v>
      </c>
      <c r="C194" t="s">
        <v>507</v>
      </c>
      <c r="D194" t="s">
        <v>551</v>
      </c>
      <c r="E194" t="s">
        <v>555</v>
      </c>
      <c r="F194" t="s">
        <v>566</v>
      </c>
      <c r="G194">
        <v>2</v>
      </c>
      <c r="H194">
        <v>2628</v>
      </c>
      <c r="I194">
        <v>5256</v>
      </c>
      <c r="J194">
        <f t="shared" si="2"/>
        <v>5256</v>
      </c>
      <c r="K194" t="str">
        <f>IF(Table1[[#This Row],[Quantity]]*Table1[[#This Row],[Unit_Price]]=Table1[[#This Row],[Sales]],"Match","Mismatch")</f>
        <v>Match</v>
      </c>
      <c r="L194">
        <f>Table1[[#This Row],[Profit]]/Table1[[#This Row],[Sales]]*100</f>
        <v>100</v>
      </c>
    </row>
    <row r="195" spans="1:12" x14ac:dyDescent="0.25">
      <c r="A195" t="s">
        <v>203</v>
      </c>
      <c r="B195" s="1">
        <v>45330</v>
      </c>
      <c r="C195" t="s">
        <v>494</v>
      </c>
      <c r="D195" t="s">
        <v>549</v>
      </c>
      <c r="E195" t="s">
        <v>553</v>
      </c>
      <c r="F195" t="s">
        <v>560</v>
      </c>
      <c r="G195">
        <v>1</v>
      </c>
      <c r="H195">
        <v>2707</v>
      </c>
      <c r="I195">
        <v>2707</v>
      </c>
      <c r="J195">
        <f t="shared" ref="J195:J258" si="3">IF(ISBLANK(I195),$J$2:$J$401,I195)</f>
        <v>2707</v>
      </c>
      <c r="K195" t="str">
        <f>IF(Table1[[#This Row],[Quantity]]*Table1[[#This Row],[Unit_Price]]=Table1[[#This Row],[Sales]],"Match","Mismatch")</f>
        <v>Match</v>
      </c>
      <c r="L195">
        <f>Table1[[#This Row],[Profit]]/Table1[[#This Row],[Sales]]*100</f>
        <v>100</v>
      </c>
    </row>
    <row r="196" spans="1:12" x14ac:dyDescent="0.25">
      <c r="A196" t="s">
        <v>204</v>
      </c>
      <c r="B196" s="1">
        <v>45533</v>
      </c>
      <c r="C196" t="s">
        <v>526</v>
      </c>
      <c r="D196" t="s">
        <v>549</v>
      </c>
      <c r="E196" t="s">
        <v>553</v>
      </c>
      <c r="F196" t="s">
        <v>560</v>
      </c>
      <c r="G196">
        <v>7</v>
      </c>
      <c r="H196">
        <v>228</v>
      </c>
      <c r="I196">
        <v>1596</v>
      </c>
      <c r="J196">
        <f t="shared" si="3"/>
        <v>1596</v>
      </c>
      <c r="K196" t="str">
        <f>IF(Table1[[#This Row],[Quantity]]*Table1[[#This Row],[Unit_Price]]=Table1[[#This Row],[Sales]],"Match","Mismatch")</f>
        <v>Match</v>
      </c>
      <c r="L196">
        <f>Table1[[#This Row],[Profit]]/Table1[[#This Row],[Sales]]*100</f>
        <v>100</v>
      </c>
    </row>
    <row r="197" spans="1:12" x14ac:dyDescent="0.25">
      <c r="A197" t="s">
        <v>205</v>
      </c>
      <c r="B197" s="1">
        <v>45447</v>
      </c>
      <c r="C197" t="s">
        <v>491</v>
      </c>
      <c r="D197" t="s">
        <v>552</v>
      </c>
      <c r="E197" t="s">
        <v>553</v>
      </c>
      <c r="F197" t="s">
        <v>576</v>
      </c>
      <c r="G197">
        <v>7</v>
      </c>
      <c r="H197">
        <v>1106</v>
      </c>
      <c r="I197">
        <v>7742</v>
      </c>
      <c r="J197">
        <f t="shared" si="3"/>
        <v>7742</v>
      </c>
      <c r="K197" t="str">
        <f>IF(Table1[[#This Row],[Quantity]]*Table1[[#This Row],[Unit_Price]]=Table1[[#This Row],[Sales]],"Match","Mismatch")</f>
        <v>Match</v>
      </c>
      <c r="L197">
        <f>Table1[[#This Row],[Profit]]/Table1[[#This Row],[Sales]]*100</f>
        <v>100</v>
      </c>
    </row>
    <row r="198" spans="1:12" x14ac:dyDescent="0.25">
      <c r="A198" t="s">
        <v>206</v>
      </c>
      <c r="B198" s="1">
        <v>45564</v>
      </c>
      <c r="C198" t="s">
        <v>506</v>
      </c>
      <c r="D198" t="s">
        <v>552</v>
      </c>
      <c r="E198" t="s">
        <v>555</v>
      </c>
      <c r="F198" t="s">
        <v>567</v>
      </c>
      <c r="G198">
        <v>2</v>
      </c>
      <c r="H198">
        <v>3304</v>
      </c>
      <c r="I198">
        <v>6608</v>
      </c>
      <c r="J198">
        <f t="shared" si="3"/>
        <v>6608</v>
      </c>
      <c r="K198" t="str">
        <f>IF(Table1[[#This Row],[Quantity]]*Table1[[#This Row],[Unit_Price]]=Table1[[#This Row],[Sales]],"Match","Mismatch")</f>
        <v>Match</v>
      </c>
      <c r="L198">
        <f>Table1[[#This Row],[Profit]]/Table1[[#This Row],[Sales]]*100</f>
        <v>100</v>
      </c>
    </row>
    <row r="199" spans="1:12" x14ac:dyDescent="0.25">
      <c r="A199" t="s">
        <v>207</v>
      </c>
      <c r="B199" s="1">
        <v>45465</v>
      </c>
      <c r="C199" t="s">
        <v>527</v>
      </c>
      <c r="D199" t="s">
        <v>550</v>
      </c>
      <c r="E199" t="s">
        <v>554</v>
      </c>
      <c r="F199" t="s">
        <v>558</v>
      </c>
      <c r="G199">
        <v>7</v>
      </c>
      <c r="H199">
        <v>4199</v>
      </c>
      <c r="I199">
        <v>29393</v>
      </c>
      <c r="J199">
        <f t="shared" si="3"/>
        <v>29393</v>
      </c>
      <c r="K199" t="str">
        <f>IF(Table1[[#This Row],[Quantity]]*Table1[[#This Row],[Unit_Price]]=Table1[[#This Row],[Sales]],"Match","Mismatch")</f>
        <v>Match</v>
      </c>
      <c r="L199">
        <f>Table1[[#This Row],[Profit]]/Table1[[#This Row],[Sales]]*100</f>
        <v>100</v>
      </c>
    </row>
    <row r="200" spans="1:12" x14ac:dyDescent="0.25">
      <c r="A200" t="s">
        <v>208</v>
      </c>
      <c r="B200" s="1">
        <v>45380</v>
      </c>
      <c r="C200" t="s">
        <v>528</v>
      </c>
      <c r="D200" t="s">
        <v>551</v>
      </c>
      <c r="E200" t="s">
        <v>553</v>
      </c>
      <c r="F200" t="s">
        <v>571</v>
      </c>
      <c r="G200">
        <v>8</v>
      </c>
      <c r="H200">
        <v>3194</v>
      </c>
      <c r="I200">
        <v>25552</v>
      </c>
      <c r="J200">
        <f t="shared" si="3"/>
        <v>25552</v>
      </c>
      <c r="K200" t="str">
        <f>IF(Table1[[#This Row],[Quantity]]*Table1[[#This Row],[Unit_Price]]=Table1[[#This Row],[Sales]],"Match","Mismatch")</f>
        <v>Match</v>
      </c>
      <c r="L200">
        <f>Table1[[#This Row],[Profit]]/Table1[[#This Row],[Sales]]*100</f>
        <v>100</v>
      </c>
    </row>
    <row r="201" spans="1:12" x14ac:dyDescent="0.25">
      <c r="A201" t="s">
        <v>209</v>
      </c>
      <c r="B201" s="1">
        <v>45455</v>
      </c>
      <c r="C201" t="s">
        <v>416</v>
      </c>
      <c r="D201" t="s">
        <v>549</v>
      </c>
      <c r="E201" t="s">
        <v>556</v>
      </c>
      <c r="F201" t="s">
        <v>563</v>
      </c>
      <c r="G201">
        <v>1</v>
      </c>
      <c r="H201">
        <v>2706</v>
      </c>
      <c r="I201">
        <v>2706</v>
      </c>
      <c r="J201">
        <f t="shared" si="3"/>
        <v>2706</v>
      </c>
      <c r="K201" t="str">
        <f>IF(Table1[[#This Row],[Quantity]]*Table1[[#This Row],[Unit_Price]]=Table1[[#This Row],[Sales]],"Match","Mismatch")</f>
        <v>Match</v>
      </c>
      <c r="L201">
        <f>Table1[[#This Row],[Profit]]/Table1[[#This Row],[Sales]]*100</f>
        <v>100</v>
      </c>
    </row>
    <row r="202" spans="1:12" x14ac:dyDescent="0.25">
      <c r="A202" t="s">
        <v>210</v>
      </c>
      <c r="B202" s="1">
        <v>45354</v>
      </c>
      <c r="C202" t="s">
        <v>517</v>
      </c>
      <c r="D202" t="s">
        <v>549</v>
      </c>
      <c r="E202" t="s">
        <v>555</v>
      </c>
      <c r="F202" t="s">
        <v>575</v>
      </c>
      <c r="G202">
        <v>9</v>
      </c>
      <c r="H202">
        <v>4865</v>
      </c>
      <c r="I202">
        <v>43785</v>
      </c>
      <c r="J202">
        <f t="shared" si="3"/>
        <v>43785</v>
      </c>
      <c r="K202" t="str">
        <f>IF(Table1[[#This Row],[Quantity]]*Table1[[#This Row],[Unit_Price]]=Table1[[#This Row],[Sales]],"Match","Mismatch")</f>
        <v>Match</v>
      </c>
      <c r="L202">
        <f>Table1[[#This Row],[Profit]]/Table1[[#This Row],[Sales]]*100</f>
        <v>100</v>
      </c>
    </row>
    <row r="203" spans="1:12" x14ac:dyDescent="0.25">
      <c r="A203" t="s">
        <v>211</v>
      </c>
      <c r="B203" s="1">
        <v>45371</v>
      </c>
      <c r="C203" t="s">
        <v>462</v>
      </c>
      <c r="D203" t="s">
        <v>550</v>
      </c>
      <c r="E203" t="s">
        <v>553</v>
      </c>
      <c r="F203" t="s">
        <v>571</v>
      </c>
      <c r="G203">
        <v>7</v>
      </c>
      <c r="H203">
        <v>3809</v>
      </c>
      <c r="I203">
        <v>26663</v>
      </c>
      <c r="J203">
        <f t="shared" si="3"/>
        <v>26663</v>
      </c>
      <c r="K203" t="str">
        <f>IF(Table1[[#This Row],[Quantity]]*Table1[[#This Row],[Unit_Price]]=Table1[[#This Row],[Sales]],"Match","Mismatch")</f>
        <v>Match</v>
      </c>
      <c r="L203">
        <f>Table1[[#This Row],[Profit]]/Table1[[#This Row],[Sales]]*100</f>
        <v>100</v>
      </c>
    </row>
    <row r="204" spans="1:12" x14ac:dyDescent="0.25">
      <c r="A204" t="s">
        <v>212</v>
      </c>
      <c r="B204" s="1">
        <v>45530</v>
      </c>
      <c r="C204" t="s">
        <v>477</v>
      </c>
      <c r="D204" t="s">
        <v>549</v>
      </c>
      <c r="E204" t="s">
        <v>553</v>
      </c>
      <c r="F204" t="s">
        <v>571</v>
      </c>
      <c r="G204">
        <v>3</v>
      </c>
      <c r="H204">
        <v>3753</v>
      </c>
      <c r="I204">
        <v>11259</v>
      </c>
      <c r="J204">
        <f t="shared" si="3"/>
        <v>11259</v>
      </c>
      <c r="K204" t="str">
        <f>IF(Table1[[#This Row],[Quantity]]*Table1[[#This Row],[Unit_Price]]=Table1[[#This Row],[Sales]],"Match","Mismatch")</f>
        <v>Match</v>
      </c>
      <c r="L204">
        <f>Table1[[#This Row],[Profit]]/Table1[[#This Row],[Sales]]*100</f>
        <v>100</v>
      </c>
    </row>
    <row r="205" spans="1:12" x14ac:dyDescent="0.25">
      <c r="A205" t="s">
        <v>213</v>
      </c>
      <c r="B205" s="1">
        <v>45418</v>
      </c>
      <c r="C205" t="s">
        <v>433</v>
      </c>
      <c r="D205" t="s">
        <v>551</v>
      </c>
      <c r="E205" t="s">
        <v>556</v>
      </c>
      <c r="F205" t="s">
        <v>561</v>
      </c>
      <c r="G205">
        <v>8</v>
      </c>
      <c r="H205">
        <v>1653</v>
      </c>
      <c r="I205">
        <v>13224</v>
      </c>
      <c r="J205">
        <f t="shared" si="3"/>
        <v>13224</v>
      </c>
      <c r="K205" t="str">
        <f>IF(Table1[[#This Row],[Quantity]]*Table1[[#This Row],[Unit_Price]]=Table1[[#This Row],[Sales]],"Match","Mismatch")</f>
        <v>Match</v>
      </c>
      <c r="L205">
        <f>Table1[[#This Row],[Profit]]/Table1[[#This Row],[Sales]]*100</f>
        <v>100</v>
      </c>
    </row>
    <row r="206" spans="1:12" x14ac:dyDescent="0.25">
      <c r="A206" t="s">
        <v>214</v>
      </c>
      <c r="B206" s="1">
        <v>45456</v>
      </c>
      <c r="C206" t="s">
        <v>437</v>
      </c>
      <c r="D206" t="s">
        <v>550</v>
      </c>
      <c r="E206" t="s">
        <v>554</v>
      </c>
      <c r="F206" t="s">
        <v>573</v>
      </c>
      <c r="G206">
        <v>7</v>
      </c>
      <c r="H206">
        <v>3556</v>
      </c>
      <c r="I206">
        <v>24892</v>
      </c>
      <c r="J206">
        <f t="shared" si="3"/>
        <v>24892</v>
      </c>
      <c r="K206" t="str">
        <f>IF(Table1[[#This Row],[Quantity]]*Table1[[#This Row],[Unit_Price]]=Table1[[#This Row],[Sales]],"Match","Mismatch")</f>
        <v>Match</v>
      </c>
      <c r="L206">
        <f>Table1[[#This Row],[Profit]]/Table1[[#This Row],[Sales]]*100</f>
        <v>100</v>
      </c>
    </row>
    <row r="207" spans="1:12" x14ac:dyDescent="0.25">
      <c r="A207" t="s">
        <v>215</v>
      </c>
      <c r="B207" s="1">
        <v>45542</v>
      </c>
      <c r="C207" t="s">
        <v>417</v>
      </c>
      <c r="D207" t="s">
        <v>551</v>
      </c>
      <c r="E207" t="s">
        <v>554</v>
      </c>
      <c r="F207" t="s">
        <v>574</v>
      </c>
      <c r="G207">
        <v>8</v>
      </c>
      <c r="H207">
        <v>715</v>
      </c>
      <c r="I207">
        <v>5720</v>
      </c>
      <c r="J207">
        <f t="shared" si="3"/>
        <v>5720</v>
      </c>
      <c r="K207" t="str">
        <f>IF(Table1[[#This Row],[Quantity]]*Table1[[#This Row],[Unit_Price]]=Table1[[#This Row],[Sales]],"Match","Mismatch")</f>
        <v>Match</v>
      </c>
      <c r="L207">
        <f>Table1[[#This Row],[Profit]]/Table1[[#This Row],[Sales]]*100</f>
        <v>100</v>
      </c>
    </row>
    <row r="208" spans="1:12" x14ac:dyDescent="0.25">
      <c r="A208" t="s">
        <v>216</v>
      </c>
      <c r="B208" s="1">
        <v>45442</v>
      </c>
      <c r="C208" t="s">
        <v>454</v>
      </c>
      <c r="D208" t="s">
        <v>550</v>
      </c>
      <c r="E208" t="s">
        <v>554</v>
      </c>
      <c r="F208" t="s">
        <v>564</v>
      </c>
      <c r="G208">
        <v>6</v>
      </c>
      <c r="H208">
        <v>238</v>
      </c>
      <c r="I208">
        <v>1428</v>
      </c>
      <c r="J208">
        <f t="shared" si="3"/>
        <v>1428</v>
      </c>
      <c r="K208" t="str">
        <f>IF(Table1[[#This Row],[Quantity]]*Table1[[#This Row],[Unit_Price]]=Table1[[#This Row],[Sales]],"Match","Mismatch")</f>
        <v>Match</v>
      </c>
      <c r="L208">
        <f>Table1[[#This Row],[Profit]]/Table1[[#This Row],[Sales]]*100</f>
        <v>100</v>
      </c>
    </row>
    <row r="209" spans="1:12" x14ac:dyDescent="0.25">
      <c r="A209" t="s">
        <v>217</v>
      </c>
      <c r="B209" s="1">
        <v>45566</v>
      </c>
      <c r="C209" t="s">
        <v>473</v>
      </c>
      <c r="D209" t="s">
        <v>550</v>
      </c>
      <c r="E209" t="s">
        <v>553</v>
      </c>
      <c r="F209" t="s">
        <v>557</v>
      </c>
      <c r="G209">
        <v>9</v>
      </c>
      <c r="H209">
        <v>3542</v>
      </c>
      <c r="I209">
        <v>31878</v>
      </c>
      <c r="J209">
        <f t="shared" si="3"/>
        <v>31878</v>
      </c>
      <c r="K209" t="str">
        <f>IF(Table1[[#This Row],[Quantity]]*Table1[[#This Row],[Unit_Price]]=Table1[[#This Row],[Sales]],"Match","Mismatch")</f>
        <v>Match</v>
      </c>
      <c r="L209">
        <f>Table1[[#This Row],[Profit]]/Table1[[#This Row],[Sales]]*100</f>
        <v>100</v>
      </c>
    </row>
    <row r="210" spans="1:12" x14ac:dyDescent="0.25">
      <c r="A210" t="s">
        <v>218</v>
      </c>
      <c r="B210" s="1">
        <v>45485</v>
      </c>
      <c r="C210" t="s">
        <v>481</v>
      </c>
      <c r="D210" t="s">
        <v>552</v>
      </c>
      <c r="E210" t="s">
        <v>553</v>
      </c>
      <c r="F210" t="s">
        <v>576</v>
      </c>
      <c r="G210">
        <v>5</v>
      </c>
      <c r="H210">
        <v>1086</v>
      </c>
      <c r="I210">
        <v>5430</v>
      </c>
      <c r="J210">
        <f t="shared" si="3"/>
        <v>5430</v>
      </c>
      <c r="K210" t="str">
        <f>IF(Table1[[#This Row],[Quantity]]*Table1[[#This Row],[Unit_Price]]=Table1[[#This Row],[Sales]],"Match","Mismatch")</f>
        <v>Match</v>
      </c>
      <c r="L210">
        <f>Table1[[#This Row],[Profit]]/Table1[[#This Row],[Sales]]*100</f>
        <v>100</v>
      </c>
    </row>
    <row r="211" spans="1:12" x14ac:dyDescent="0.25">
      <c r="A211" t="s">
        <v>219</v>
      </c>
      <c r="B211" s="1">
        <v>45602</v>
      </c>
      <c r="C211" t="s">
        <v>451</v>
      </c>
      <c r="D211" t="s">
        <v>551</v>
      </c>
      <c r="E211" t="s">
        <v>553</v>
      </c>
      <c r="F211" t="s">
        <v>560</v>
      </c>
      <c r="G211">
        <v>3</v>
      </c>
      <c r="H211">
        <v>3044</v>
      </c>
      <c r="I211">
        <v>9132</v>
      </c>
      <c r="J211">
        <f t="shared" si="3"/>
        <v>9132</v>
      </c>
      <c r="K211" t="str">
        <f>IF(Table1[[#This Row],[Quantity]]*Table1[[#This Row],[Unit_Price]]=Table1[[#This Row],[Sales]],"Match","Mismatch")</f>
        <v>Match</v>
      </c>
      <c r="L211">
        <f>Table1[[#This Row],[Profit]]/Table1[[#This Row],[Sales]]*100</f>
        <v>100</v>
      </c>
    </row>
    <row r="212" spans="1:12" x14ac:dyDescent="0.25">
      <c r="A212" t="s">
        <v>220</v>
      </c>
      <c r="B212" s="1">
        <v>45292</v>
      </c>
      <c r="C212" t="s">
        <v>424</v>
      </c>
      <c r="D212" t="s">
        <v>549</v>
      </c>
      <c r="E212" t="s">
        <v>555</v>
      </c>
      <c r="F212" t="s">
        <v>566</v>
      </c>
      <c r="G212">
        <v>3</v>
      </c>
      <c r="H212">
        <v>2404</v>
      </c>
      <c r="I212">
        <v>7212</v>
      </c>
      <c r="J212">
        <f t="shared" si="3"/>
        <v>7212</v>
      </c>
      <c r="K212" t="str">
        <f>IF(Table1[[#This Row],[Quantity]]*Table1[[#This Row],[Unit_Price]]=Table1[[#This Row],[Sales]],"Match","Mismatch")</f>
        <v>Match</v>
      </c>
      <c r="L212">
        <f>Table1[[#This Row],[Profit]]/Table1[[#This Row],[Sales]]*100</f>
        <v>100</v>
      </c>
    </row>
    <row r="213" spans="1:12" x14ac:dyDescent="0.25">
      <c r="A213" t="s">
        <v>221</v>
      </c>
      <c r="B213" s="1">
        <v>45574</v>
      </c>
      <c r="C213" t="s">
        <v>471</v>
      </c>
      <c r="D213" t="s">
        <v>549</v>
      </c>
      <c r="E213" t="s">
        <v>556</v>
      </c>
      <c r="F213" t="s">
        <v>565</v>
      </c>
      <c r="G213">
        <v>1</v>
      </c>
      <c r="H213">
        <v>1298</v>
      </c>
      <c r="I213">
        <v>1298</v>
      </c>
      <c r="J213">
        <f t="shared" si="3"/>
        <v>1298</v>
      </c>
      <c r="K213" t="str">
        <f>IF(Table1[[#This Row],[Quantity]]*Table1[[#This Row],[Unit_Price]]=Table1[[#This Row],[Sales]],"Match","Mismatch")</f>
        <v>Match</v>
      </c>
      <c r="L213">
        <f>Table1[[#This Row],[Profit]]/Table1[[#This Row],[Sales]]*100</f>
        <v>100</v>
      </c>
    </row>
    <row r="214" spans="1:12" x14ac:dyDescent="0.25">
      <c r="A214" t="s">
        <v>222</v>
      </c>
      <c r="B214" s="1">
        <v>45554</v>
      </c>
      <c r="C214" t="s">
        <v>471</v>
      </c>
      <c r="D214" t="s">
        <v>551</v>
      </c>
      <c r="E214" t="s">
        <v>553</v>
      </c>
      <c r="F214" t="s">
        <v>557</v>
      </c>
      <c r="G214">
        <v>8</v>
      </c>
      <c r="H214">
        <v>2023</v>
      </c>
      <c r="I214">
        <v>16184</v>
      </c>
      <c r="J214">
        <f t="shared" si="3"/>
        <v>16184</v>
      </c>
      <c r="K214" t="str">
        <f>IF(Table1[[#This Row],[Quantity]]*Table1[[#This Row],[Unit_Price]]=Table1[[#This Row],[Sales]],"Match","Mismatch")</f>
        <v>Match</v>
      </c>
      <c r="L214">
        <f>Table1[[#This Row],[Profit]]/Table1[[#This Row],[Sales]]*100</f>
        <v>100</v>
      </c>
    </row>
    <row r="215" spans="1:12" x14ac:dyDescent="0.25">
      <c r="A215" t="s">
        <v>223</v>
      </c>
      <c r="B215" s="1">
        <v>45573</v>
      </c>
      <c r="C215" t="s">
        <v>480</v>
      </c>
      <c r="D215" t="s">
        <v>549</v>
      </c>
      <c r="E215" t="s">
        <v>556</v>
      </c>
      <c r="F215" t="s">
        <v>569</v>
      </c>
      <c r="G215">
        <v>2</v>
      </c>
      <c r="H215">
        <v>3401</v>
      </c>
      <c r="I215">
        <v>6802</v>
      </c>
      <c r="J215">
        <f t="shared" si="3"/>
        <v>6802</v>
      </c>
      <c r="K215" t="str">
        <f>IF(Table1[[#This Row],[Quantity]]*Table1[[#This Row],[Unit_Price]]=Table1[[#This Row],[Sales]],"Match","Mismatch")</f>
        <v>Match</v>
      </c>
      <c r="L215">
        <f>Table1[[#This Row],[Profit]]/Table1[[#This Row],[Sales]]*100</f>
        <v>100</v>
      </c>
    </row>
    <row r="216" spans="1:12" x14ac:dyDescent="0.25">
      <c r="A216" t="s">
        <v>224</v>
      </c>
      <c r="B216" s="1">
        <v>45507</v>
      </c>
      <c r="C216" t="s">
        <v>440</v>
      </c>
      <c r="D216" t="s">
        <v>549</v>
      </c>
      <c r="E216" t="s">
        <v>556</v>
      </c>
      <c r="F216" t="s">
        <v>569</v>
      </c>
      <c r="G216">
        <v>3</v>
      </c>
      <c r="H216">
        <v>3355</v>
      </c>
      <c r="I216">
        <v>10065</v>
      </c>
      <c r="J216">
        <f t="shared" si="3"/>
        <v>10065</v>
      </c>
      <c r="K216" t="str">
        <f>IF(Table1[[#This Row],[Quantity]]*Table1[[#This Row],[Unit_Price]]=Table1[[#This Row],[Sales]],"Match","Mismatch")</f>
        <v>Match</v>
      </c>
      <c r="L216">
        <f>Table1[[#This Row],[Profit]]/Table1[[#This Row],[Sales]]*100</f>
        <v>100</v>
      </c>
    </row>
    <row r="217" spans="1:12" x14ac:dyDescent="0.25">
      <c r="A217" t="s">
        <v>225</v>
      </c>
      <c r="B217" s="1">
        <v>45551</v>
      </c>
      <c r="C217" t="s">
        <v>529</v>
      </c>
      <c r="D217" t="s">
        <v>551</v>
      </c>
      <c r="E217" t="s">
        <v>554</v>
      </c>
      <c r="F217" t="s">
        <v>574</v>
      </c>
      <c r="G217">
        <v>8</v>
      </c>
      <c r="H217">
        <v>3293</v>
      </c>
      <c r="I217">
        <v>26344</v>
      </c>
      <c r="J217">
        <f t="shared" si="3"/>
        <v>26344</v>
      </c>
      <c r="K217" t="str">
        <f>IF(Table1[[#This Row],[Quantity]]*Table1[[#This Row],[Unit_Price]]=Table1[[#This Row],[Sales]],"Match","Mismatch")</f>
        <v>Match</v>
      </c>
      <c r="L217">
        <f>Table1[[#This Row],[Profit]]/Table1[[#This Row],[Sales]]*100</f>
        <v>100</v>
      </c>
    </row>
    <row r="218" spans="1:12" x14ac:dyDescent="0.25">
      <c r="A218" t="s">
        <v>226</v>
      </c>
      <c r="B218" s="1">
        <v>45521</v>
      </c>
      <c r="C218" t="s">
        <v>421</v>
      </c>
      <c r="D218" t="s">
        <v>550</v>
      </c>
      <c r="E218" t="s">
        <v>555</v>
      </c>
      <c r="F218" t="s">
        <v>566</v>
      </c>
      <c r="G218">
        <v>8</v>
      </c>
      <c r="H218">
        <v>3730</v>
      </c>
      <c r="I218">
        <v>29840</v>
      </c>
      <c r="J218">
        <f t="shared" si="3"/>
        <v>29840</v>
      </c>
      <c r="K218" t="str">
        <f>IF(Table1[[#This Row],[Quantity]]*Table1[[#This Row],[Unit_Price]]=Table1[[#This Row],[Sales]],"Match","Mismatch")</f>
        <v>Match</v>
      </c>
      <c r="L218">
        <f>Table1[[#This Row],[Profit]]/Table1[[#This Row],[Sales]]*100</f>
        <v>100</v>
      </c>
    </row>
    <row r="219" spans="1:12" x14ac:dyDescent="0.25">
      <c r="A219" t="s">
        <v>227</v>
      </c>
      <c r="B219" s="1">
        <v>45449</v>
      </c>
      <c r="C219" t="s">
        <v>530</v>
      </c>
      <c r="D219" t="s">
        <v>551</v>
      </c>
      <c r="E219" t="s">
        <v>553</v>
      </c>
      <c r="F219" t="s">
        <v>562</v>
      </c>
      <c r="G219">
        <v>4</v>
      </c>
      <c r="H219">
        <v>3978</v>
      </c>
      <c r="I219">
        <v>15912</v>
      </c>
      <c r="J219">
        <f t="shared" si="3"/>
        <v>15912</v>
      </c>
      <c r="K219" t="str">
        <f>IF(Table1[[#This Row],[Quantity]]*Table1[[#This Row],[Unit_Price]]=Table1[[#This Row],[Sales]],"Match","Mismatch")</f>
        <v>Match</v>
      </c>
      <c r="L219">
        <f>Table1[[#This Row],[Profit]]/Table1[[#This Row],[Sales]]*100</f>
        <v>100</v>
      </c>
    </row>
    <row r="220" spans="1:12" x14ac:dyDescent="0.25">
      <c r="A220" t="s">
        <v>228</v>
      </c>
      <c r="B220" s="1">
        <v>45532</v>
      </c>
      <c r="C220" t="s">
        <v>429</v>
      </c>
      <c r="D220" t="s">
        <v>550</v>
      </c>
      <c r="E220" t="s">
        <v>554</v>
      </c>
      <c r="F220" t="s">
        <v>564</v>
      </c>
      <c r="G220">
        <v>4</v>
      </c>
      <c r="H220">
        <v>3096</v>
      </c>
      <c r="I220">
        <v>12384</v>
      </c>
      <c r="J220">
        <f t="shared" si="3"/>
        <v>12384</v>
      </c>
      <c r="K220" t="str">
        <f>IF(Table1[[#This Row],[Quantity]]*Table1[[#This Row],[Unit_Price]]=Table1[[#This Row],[Sales]],"Match","Mismatch")</f>
        <v>Match</v>
      </c>
      <c r="L220">
        <f>Table1[[#This Row],[Profit]]/Table1[[#This Row],[Sales]]*100</f>
        <v>100</v>
      </c>
    </row>
    <row r="221" spans="1:12" x14ac:dyDescent="0.25">
      <c r="A221" t="s">
        <v>229</v>
      </c>
      <c r="B221" s="1">
        <v>45392</v>
      </c>
      <c r="C221" t="s">
        <v>450</v>
      </c>
      <c r="D221" t="s">
        <v>549</v>
      </c>
      <c r="E221" t="s">
        <v>554</v>
      </c>
      <c r="F221" t="s">
        <v>574</v>
      </c>
      <c r="G221">
        <v>5</v>
      </c>
      <c r="H221">
        <v>3653</v>
      </c>
      <c r="I221">
        <v>18265</v>
      </c>
      <c r="J221">
        <f t="shared" si="3"/>
        <v>18265</v>
      </c>
      <c r="K221" t="str">
        <f>IF(Table1[[#This Row],[Quantity]]*Table1[[#This Row],[Unit_Price]]=Table1[[#This Row],[Sales]],"Match","Mismatch")</f>
        <v>Match</v>
      </c>
      <c r="L221">
        <f>Table1[[#This Row],[Profit]]/Table1[[#This Row],[Sales]]*100</f>
        <v>100</v>
      </c>
    </row>
    <row r="222" spans="1:12" x14ac:dyDescent="0.25">
      <c r="A222" t="s">
        <v>230</v>
      </c>
      <c r="B222" s="1">
        <v>45322</v>
      </c>
      <c r="C222" t="s">
        <v>473</v>
      </c>
      <c r="D222" t="s">
        <v>549</v>
      </c>
      <c r="E222" t="s">
        <v>553</v>
      </c>
      <c r="F222" t="s">
        <v>571</v>
      </c>
      <c r="G222">
        <v>6</v>
      </c>
      <c r="H222">
        <v>3711</v>
      </c>
      <c r="I222">
        <v>22266</v>
      </c>
      <c r="J222">
        <f t="shared" si="3"/>
        <v>22266</v>
      </c>
      <c r="K222" t="str">
        <f>IF(Table1[[#This Row],[Quantity]]*Table1[[#This Row],[Unit_Price]]=Table1[[#This Row],[Sales]],"Match","Mismatch")</f>
        <v>Match</v>
      </c>
      <c r="L222">
        <f>Table1[[#This Row],[Profit]]/Table1[[#This Row],[Sales]]*100</f>
        <v>100</v>
      </c>
    </row>
    <row r="223" spans="1:12" x14ac:dyDescent="0.25">
      <c r="A223" t="s">
        <v>231</v>
      </c>
      <c r="B223" s="1">
        <v>45626</v>
      </c>
      <c r="C223" t="s">
        <v>517</v>
      </c>
      <c r="D223" t="s">
        <v>549</v>
      </c>
      <c r="E223" t="s">
        <v>556</v>
      </c>
      <c r="F223" t="s">
        <v>568</v>
      </c>
      <c r="G223">
        <v>5</v>
      </c>
      <c r="H223">
        <v>1188</v>
      </c>
      <c r="I223">
        <v>5940</v>
      </c>
      <c r="J223">
        <f t="shared" si="3"/>
        <v>5940</v>
      </c>
      <c r="K223" t="str">
        <f>IF(Table1[[#This Row],[Quantity]]*Table1[[#This Row],[Unit_Price]]=Table1[[#This Row],[Sales]],"Match","Mismatch")</f>
        <v>Match</v>
      </c>
      <c r="L223">
        <f>Table1[[#This Row],[Profit]]/Table1[[#This Row],[Sales]]*100</f>
        <v>100</v>
      </c>
    </row>
    <row r="224" spans="1:12" x14ac:dyDescent="0.25">
      <c r="A224" t="s">
        <v>232</v>
      </c>
      <c r="B224" s="1">
        <v>45386</v>
      </c>
      <c r="C224" t="s">
        <v>496</v>
      </c>
      <c r="D224" t="s">
        <v>552</v>
      </c>
      <c r="E224" t="s">
        <v>554</v>
      </c>
      <c r="F224" t="s">
        <v>574</v>
      </c>
      <c r="G224">
        <v>7</v>
      </c>
      <c r="H224">
        <v>4316</v>
      </c>
      <c r="I224">
        <v>30212</v>
      </c>
      <c r="J224">
        <f t="shared" si="3"/>
        <v>30212</v>
      </c>
      <c r="K224" t="str">
        <f>IF(Table1[[#This Row],[Quantity]]*Table1[[#This Row],[Unit_Price]]=Table1[[#This Row],[Sales]],"Match","Mismatch")</f>
        <v>Match</v>
      </c>
      <c r="L224">
        <f>Table1[[#This Row],[Profit]]/Table1[[#This Row],[Sales]]*100</f>
        <v>100</v>
      </c>
    </row>
    <row r="225" spans="1:12" x14ac:dyDescent="0.25">
      <c r="A225" t="s">
        <v>233</v>
      </c>
      <c r="B225" s="1">
        <v>45439</v>
      </c>
      <c r="C225" t="s">
        <v>437</v>
      </c>
      <c r="D225" t="s">
        <v>550</v>
      </c>
      <c r="E225" t="s">
        <v>556</v>
      </c>
      <c r="F225" t="s">
        <v>561</v>
      </c>
      <c r="G225">
        <v>2</v>
      </c>
      <c r="H225">
        <v>4226</v>
      </c>
      <c r="I225">
        <v>8452</v>
      </c>
      <c r="J225">
        <f t="shared" si="3"/>
        <v>8452</v>
      </c>
      <c r="K225" t="str">
        <f>IF(Table1[[#This Row],[Quantity]]*Table1[[#This Row],[Unit_Price]]=Table1[[#This Row],[Sales]],"Match","Mismatch")</f>
        <v>Match</v>
      </c>
      <c r="L225">
        <f>Table1[[#This Row],[Profit]]/Table1[[#This Row],[Sales]]*100</f>
        <v>100</v>
      </c>
    </row>
    <row r="226" spans="1:12" x14ac:dyDescent="0.25">
      <c r="A226" t="s">
        <v>234</v>
      </c>
      <c r="B226" s="1">
        <v>45558</v>
      </c>
      <c r="C226" t="s">
        <v>460</v>
      </c>
      <c r="D226" t="s">
        <v>552</v>
      </c>
      <c r="E226" t="s">
        <v>555</v>
      </c>
      <c r="F226" t="s">
        <v>566</v>
      </c>
      <c r="G226">
        <v>7</v>
      </c>
      <c r="H226">
        <v>4379</v>
      </c>
      <c r="I226">
        <v>30653</v>
      </c>
      <c r="J226">
        <f t="shared" si="3"/>
        <v>30653</v>
      </c>
      <c r="K226" t="str">
        <f>IF(Table1[[#This Row],[Quantity]]*Table1[[#This Row],[Unit_Price]]=Table1[[#This Row],[Sales]],"Match","Mismatch")</f>
        <v>Match</v>
      </c>
      <c r="L226">
        <f>Table1[[#This Row],[Profit]]/Table1[[#This Row],[Sales]]*100</f>
        <v>100</v>
      </c>
    </row>
    <row r="227" spans="1:12" x14ac:dyDescent="0.25">
      <c r="A227" t="s">
        <v>235</v>
      </c>
      <c r="B227" s="1">
        <v>45619</v>
      </c>
      <c r="C227" t="s">
        <v>472</v>
      </c>
      <c r="D227" t="s">
        <v>552</v>
      </c>
      <c r="E227" t="s">
        <v>556</v>
      </c>
      <c r="F227" t="s">
        <v>568</v>
      </c>
      <c r="G227">
        <v>7</v>
      </c>
      <c r="H227">
        <v>1882</v>
      </c>
      <c r="I227">
        <v>13174</v>
      </c>
      <c r="J227">
        <f t="shared" si="3"/>
        <v>13174</v>
      </c>
      <c r="K227" t="str">
        <f>IF(Table1[[#This Row],[Quantity]]*Table1[[#This Row],[Unit_Price]]=Table1[[#This Row],[Sales]],"Match","Mismatch")</f>
        <v>Match</v>
      </c>
      <c r="L227">
        <f>Table1[[#This Row],[Profit]]/Table1[[#This Row],[Sales]]*100</f>
        <v>100</v>
      </c>
    </row>
    <row r="228" spans="1:12" x14ac:dyDescent="0.25">
      <c r="A228" t="s">
        <v>236</v>
      </c>
      <c r="B228" s="1">
        <v>45582</v>
      </c>
      <c r="C228" t="s">
        <v>531</v>
      </c>
      <c r="D228" t="s">
        <v>551</v>
      </c>
      <c r="E228" t="s">
        <v>555</v>
      </c>
      <c r="F228" t="s">
        <v>559</v>
      </c>
      <c r="G228">
        <v>1</v>
      </c>
      <c r="H228">
        <v>4865</v>
      </c>
      <c r="I228">
        <v>4865</v>
      </c>
      <c r="J228">
        <f t="shared" si="3"/>
        <v>4865</v>
      </c>
      <c r="K228" t="str">
        <f>IF(Table1[[#This Row],[Quantity]]*Table1[[#This Row],[Unit_Price]]=Table1[[#This Row],[Sales]],"Match","Mismatch")</f>
        <v>Match</v>
      </c>
      <c r="L228">
        <f>Table1[[#This Row],[Profit]]/Table1[[#This Row],[Sales]]*100</f>
        <v>100</v>
      </c>
    </row>
    <row r="229" spans="1:12" x14ac:dyDescent="0.25">
      <c r="A229" t="s">
        <v>237</v>
      </c>
      <c r="B229" s="1">
        <v>45588</v>
      </c>
      <c r="C229" t="s">
        <v>477</v>
      </c>
      <c r="D229" t="s">
        <v>552</v>
      </c>
      <c r="E229" t="s">
        <v>556</v>
      </c>
      <c r="F229" t="s">
        <v>565</v>
      </c>
      <c r="G229">
        <v>7</v>
      </c>
      <c r="H229">
        <v>4163</v>
      </c>
      <c r="I229">
        <v>29141</v>
      </c>
      <c r="J229">
        <f t="shared" si="3"/>
        <v>29141</v>
      </c>
      <c r="K229" t="str">
        <f>IF(Table1[[#This Row],[Quantity]]*Table1[[#This Row],[Unit_Price]]=Table1[[#This Row],[Sales]],"Match","Mismatch")</f>
        <v>Match</v>
      </c>
      <c r="L229">
        <f>Table1[[#This Row],[Profit]]/Table1[[#This Row],[Sales]]*100</f>
        <v>100</v>
      </c>
    </row>
    <row r="230" spans="1:12" x14ac:dyDescent="0.25">
      <c r="A230" t="s">
        <v>238</v>
      </c>
      <c r="B230" s="1">
        <v>45304</v>
      </c>
      <c r="C230" t="s">
        <v>532</v>
      </c>
      <c r="D230" t="s">
        <v>551</v>
      </c>
      <c r="E230" t="s">
        <v>554</v>
      </c>
      <c r="F230" t="s">
        <v>558</v>
      </c>
      <c r="G230">
        <v>5</v>
      </c>
      <c r="H230">
        <v>1133</v>
      </c>
      <c r="I230">
        <v>5665</v>
      </c>
      <c r="J230">
        <f t="shared" si="3"/>
        <v>5665</v>
      </c>
      <c r="K230" t="str">
        <f>IF(Table1[[#This Row],[Quantity]]*Table1[[#This Row],[Unit_Price]]=Table1[[#This Row],[Sales]],"Match","Mismatch")</f>
        <v>Match</v>
      </c>
      <c r="L230">
        <f>Table1[[#This Row],[Profit]]/Table1[[#This Row],[Sales]]*100</f>
        <v>100</v>
      </c>
    </row>
    <row r="231" spans="1:12" x14ac:dyDescent="0.25">
      <c r="A231" t="s">
        <v>239</v>
      </c>
      <c r="B231" s="1">
        <v>45429</v>
      </c>
      <c r="C231" t="s">
        <v>500</v>
      </c>
      <c r="D231" t="s">
        <v>551</v>
      </c>
      <c r="E231" t="s">
        <v>554</v>
      </c>
      <c r="F231" t="s">
        <v>564</v>
      </c>
      <c r="G231">
        <v>3</v>
      </c>
      <c r="H231">
        <v>3798</v>
      </c>
      <c r="I231">
        <v>11394</v>
      </c>
      <c r="J231">
        <f t="shared" si="3"/>
        <v>11394</v>
      </c>
      <c r="K231" t="str">
        <f>IF(Table1[[#This Row],[Quantity]]*Table1[[#This Row],[Unit_Price]]=Table1[[#This Row],[Sales]],"Match","Mismatch")</f>
        <v>Match</v>
      </c>
      <c r="L231">
        <f>Table1[[#This Row],[Profit]]/Table1[[#This Row],[Sales]]*100</f>
        <v>100</v>
      </c>
    </row>
    <row r="232" spans="1:12" x14ac:dyDescent="0.25">
      <c r="A232" t="s">
        <v>240</v>
      </c>
      <c r="B232" s="1">
        <v>45506</v>
      </c>
      <c r="C232" t="s">
        <v>457</v>
      </c>
      <c r="D232" t="s">
        <v>552</v>
      </c>
      <c r="E232" t="s">
        <v>555</v>
      </c>
      <c r="F232" t="s">
        <v>575</v>
      </c>
      <c r="G232">
        <v>3</v>
      </c>
      <c r="H232">
        <v>3433</v>
      </c>
      <c r="I232">
        <v>10299</v>
      </c>
      <c r="J232">
        <f t="shared" si="3"/>
        <v>10299</v>
      </c>
      <c r="K232" t="str">
        <f>IF(Table1[[#This Row],[Quantity]]*Table1[[#This Row],[Unit_Price]]=Table1[[#This Row],[Sales]],"Match","Mismatch")</f>
        <v>Match</v>
      </c>
      <c r="L232">
        <f>Table1[[#This Row],[Profit]]/Table1[[#This Row],[Sales]]*100</f>
        <v>100</v>
      </c>
    </row>
    <row r="233" spans="1:12" x14ac:dyDescent="0.25">
      <c r="A233" t="s">
        <v>241</v>
      </c>
      <c r="B233" s="1">
        <v>45421</v>
      </c>
      <c r="C233" t="s">
        <v>470</v>
      </c>
      <c r="D233" t="s">
        <v>550</v>
      </c>
      <c r="E233" t="s">
        <v>553</v>
      </c>
      <c r="F233" t="s">
        <v>562</v>
      </c>
      <c r="G233">
        <v>4</v>
      </c>
      <c r="H233">
        <v>2180</v>
      </c>
      <c r="I233">
        <v>8720</v>
      </c>
      <c r="J233">
        <f t="shared" si="3"/>
        <v>8720</v>
      </c>
      <c r="K233" t="str">
        <f>IF(Table1[[#This Row],[Quantity]]*Table1[[#This Row],[Unit_Price]]=Table1[[#This Row],[Sales]],"Match","Mismatch")</f>
        <v>Match</v>
      </c>
      <c r="L233">
        <f>Table1[[#This Row],[Profit]]/Table1[[#This Row],[Sales]]*100</f>
        <v>100</v>
      </c>
    </row>
    <row r="234" spans="1:12" x14ac:dyDescent="0.25">
      <c r="A234" t="s">
        <v>242</v>
      </c>
      <c r="B234" s="1">
        <v>45359</v>
      </c>
      <c r="C234" t="s">
        <v>430</v>
      </c>
      <c r="D234" t="s">
        <v>550</v>
      </c>
      <c r="E234" t="s">
        <v>555</v>
      </c>
      <c r="F234" t="s">
        <v>567</v>
      </c>
      <c r="G234">
        <v>2</v>
      </c>
      <c r="H234">
        <v>2055</v>
      </c>
      <c r="I234">
        <v>4110</v>
      </c>
      <c r="J234">
        <f t="shared" si="3"/>
        <v>4110</v>
      </c>
      <c r="K234" t="str">
        <f>IF(Table1[[#This Row],[Quantity]]*Table1[[#This Row],[Unit_Price]]=Table1[[#This Row],[Sales]],"Match","Mismatch")</f>
        <v>Match</v>
      </c>
      <c r="L234">
        <f>Table1[[#This Row],[Profit]]/Table1[[#This Row],[Sales]]*100</f>
        <v>100</v>
      </c>
    </row>
    <row r="235" spans="1:12" x14ac:dyDescent="0.25">
      <c r="A235" t="s">
        <v>243</v>
      </c>
      <c r="B235" s="1">
        <v>45391</v>
      </c>
      <c r="C235" t="s">
        <v>441</v>
      </c>
      <c r="D235" t="s">
        <v>550</v>
      </c>
      <c r="E235" t="s">
        <v>555</v>
      </c>
      <c r="F235" t="s">
        <v>570</v>
      </c>
      <c r="G235">
        <v>2</v>
      </c>
      <c r="H235">
        <v>3256</v>
      </c>
      <c r="I235">
        <v>6512</v>
      </c>
      <c r="J235">
        <f t="shared" si="3"/>
        <v>6512</v>
      </c>
      <c r="K235" t="str">
        <f>IF(Table1[[#This Row],[Quantity]]*Table1[[#This Row],[Unit_Price]]=Table1[[#This Row],[Sales]],"Match","Mismatch")</f>
        <v>Match</v>
      </c>
      <c r="L235">
        <f>Table1[[#This Row],[Profit]]/Table1[[#This Row],[Sales]]*100</f>
        <v>100</v>
      </c>
    </row>
    <row r="236" spans="1:12" x14ac:dyDescent="0.25">
      <c r="A236" t="s">
        <v>244</v>
      </c>
      <c r="B236" s="1">
        <v>45426</v>
      </c>
      <c r="C236" t="s">
        <v>449</v>
      </c>
      <c r="D236" t="s">
        <v>550</v>
      </c>
      <c r="E236" t="s">
        <v>556</v>
      </c>
      <c r="F236" t="s">
        <v>569</v>
      </c>
      <c r="G236">
        <v>1</v>
      </c>
      <c r="H236">
        <v>992</v>
      </c>
      <c r="I236">
        <v>992</v>
      </c>
      <c r="J236">
        <f t="shared" si="3"/>
        <v>992</v>
      </c>
      <c r="K236" t="str">
        <f>IF(Table1[[#This Row],[Quantity]]*Table1[[#This Row],[Unit_Price]]=Table1[[#This Row],[Sales]],"Match","Mismatch")</f>
        <v>Match</v>
      </c>
      <c r="L236">
        <f>Table1[[#This Row],[Profit]]/Table1[[#This Row],[Sales]]*100</f>
        <v>100</v>
      </c>
    </row>
    <row r="237" spans="1:12" x14ac:dyDescent="0.25">
      <c r="A237" t="s">
        <v>245</v>
      </c>
      <c r="B237" s="1">
        <v>45355</v>
      </c>
      <c r="C237" t="s">
        <v>502</v>
      </c>
      <c r="D237" t="s">
        <v>550</v>
      </c>
      <c r="E237" t="s">
        <v>556</v>
      </c>
      <c r="F237" t="s">
        <v>563</v>
      </c>
      <c r="G237">
        <v>5</v>
      </c>
      <c r="H237">
        <v>991</v>
      </c>
      <c r="I237">
        <v>4955</v>
      </c>
      <c r="J237">
        <f t="shared" si="3"/>
        <v>4955</v>
      </c>
      <c r="K237" t="str">
        <f>IF(Table1[[#This Row],[Quantity]]*Table1[[#This Row],[Unit_Price]]=Table1[[#This Row],[Sales]],"Match","Mismatch")</f>
        <v>Match</v>
      </c>
      <c r="L237">
        <f>Table1[[#This Row],[Profit]]/Table1[[#This Row],[Sales]]*100</f>
        <v>100</v>
      </c>
    </row>
    <row r="238" spans="1:12" x14ac:dyDescent="0.25">
      <c r="A238" t="s">
        <v>246</v>
      </c>
      <c r="B238" s="1">
        <v>45342</v>
      </c>
      <c r="C238" t="s">
        <v>496</v>
      </c>
      <c r="D238" t="s">
        <v>552</v>
      </c>
      <c r="E238" t="s">
        <v>555</v>
      </c>
      <c r="F238" t="s">
        <v>575</v>
      </c>
      <c r="G238">
        <v>4</v>
      </c>
      <c r="H238">
        <v>2009</v>
      </c>
      <c r="I238">
        <v>8036</v>
      </c>
      <c r="J238">
        <f t="shared" si="3"/>
        <v>8036</v>
      </c>
      <c r="K238" t="str">
        <f>IF(Table1[[#This Row],[Quantity]]*Table1[[#This Row],[Unit_Price]]=Table1[[#This Row],[Sales]],"Match","Mismatch")</f>
        <v>Match</v>
      </c>
      <c r="L238">
        <f>Table1[[#This Row],[Profit]]/Table1[[#This Row],[Sales]]*100</f>
        <v>100</v>
      </c>
    </row>
    <row r="239" spans="1:12" x14ac:dyDescent="0.25">
      <c r="A239" t="s">
        <v>247</v>
      </c>
      <c r="B239" s="1">
        <v>45492</v>
      </c>
      <c r="C239" t="s">
        <v>415</v>
      </c>
      <c r="D239" t="s">
        <v>552</v>
      </c>
      <c r="E239" t="s">
        <v>554</v>
      </c>
      <c r="F239" t="s">
        <v>558</v>
      </c>
      <c r="G239">
        <v>2</v>
      </c>
      <c r="H239">
        <v>2455</v>
      </c>
      <c r="I239">
        <v>4910</v>
      </c>
      <c r="J239">
        <f t="shared" si="3"/>
        <v>4910</v>
      </c>
      <c r="K239" t="str">
        <f>IF(Table1[[#This Row],[Quantity]]*Table1[[#This Row],[Unit_Price]]=Table1[[#This Row],[Sales]],"Match","Mismatch")</f>
        <v>Match</v>
      </c>
      <c r="L239">
        <f>Table1[[#This Row],[Profit]]/Table1[[#This Row],[Sales]]*100</f>
        <v>100</v>
      </c>
    </row>
    <row r="240" spans="1:12" x14ac:dyDescent="0.25">
      <c r="A240" t="s">
        <v>248</v>
      </c>
      <c r="B240" s="1">
        <v>45318</v>
      </c>
      <c r="C240" t="s">
        <v>452</v>
      </c>
      <c r="D240" t="s">
        <v>549</v>
      </c>
      <c r="E240" t="s">
        <v>556</v>
      </c>
      <c r="F240" t="s">
        <v>568</v>
      </c>
      <c r="G240">
        <v>3</v>
      </c>
      <c r="H240">
        <v>3810</v>
      </c>
      <c r="I240">
        <v>11430</v>
      </c>
      <c r="J240">
        <f t="shared" si="3"/>
        <v>11430</v>
      </c>
      <c r="K240" t="str">
        <f>IF(Table1[[#This Row],[Quantity]]*Table1[[#This Row],[Unit_Price]]=Table1[[#This Row],[Sales]],"Match","Mismatch")</f>
        <v>Match</v>
      </c>
      <c r="L240">
        <f>Table1[[#This Row],[Profit]]/Table1[[#This Row],[Sales]]*100</f>
        <v>100</v>
      </c>
    </row>
    <row r="241" spans="1:12" x14ac:dyDescent="0.25">
      <c r="A241" t="s">
        <v>249</v>
      </c>
      <c r="B241" s="1">
        <v>45368</v>
      </c>
      <c r="C241" t="s">
        <v>505</v>
      </c>
      <c r="D241" t="s">
        <v>550</v>
      </c>
      <c r="E241" t="s">
        <v>553</v>
      </c>
      <c r="F241" t="s">
        <v>557</v>
      </c>
      <c r="G241">
        <v>7</v>
      </c>
      <c r="H241">
        <v>1807</v>
      </c>
      <c r="I241">
        <v>12649</v>
      </c>
      <c r="J241">
        <f t="shared" si="3"/>
        <v>12649</v>
      </c>
      <c r="K241" t="str">
        <f>IF(Table1[[#This Row],[Quantity]]*Table1[[#This Row],[Unit_Price]]=Table1[[#This Row],[Sales]],"Match","Mismatch")</f>
        <v>Match</v>
      </c>
      <c r="L241">
        <f>Table1[[#This Row],[Profit]]/Table1[[#This Row],[Sales]]*100</f>
        <v>100</v>
      </c>
    </row>
    <row r="242" spans="1:12" x14ac:dyDescent="0.25">
      <c r="A242" t="s">
        <v>250</v>
      </c>
      <c r="B242" s="1">
        <v>45574</v>
      </c>
      <c r="C242" t="s">
        <v>436</v>
      </c>
      <c r="D242" t="s">
        <v>552</v>
      </c>
      <c r="E242" t="s">
        <v>556</v>
      </c>
      <c r="F242" t="s">
        <v>563</v>
      </c>
      <c r="G242">
        <v>7</v>
      </c>
      <c r="H242">
        <v>1184</v>
      </c>
      <c r="I242">
        <v>8288</v>
      </c>
      <c r="J242">
        <f t="shared" si="3"/>
        <v>8288</v>
      </c>
      <c r="K242" t="str">
        <f>IF(Table1[[#This Row],[Quantity]]*Table1[[#This Row],[Unit_Price]]=Table1[[#This Row],[Sales]],"Match","Mismatch")</f>
        <v>Match</v>
      </c>
      <c r="L242">
        <f>Table1[[#This Row],[Profit]]/Table1[[#This Row],[Sales]]*100</f>
        <v>100</v>
      </c>
    </row>
    <row r="243" spans="1:12" x14ac:dyDescent="0.25">
      <c r="A243" t="s">
        <v>251</v>
      </c>
      <c r="B243" s="1">
        <v>45381</v>
      </c>
      <c r="C243" t="s">
        <v>528</v>
      </c>
      <c r="D243" t="s">
        <v>549</v>
      </c>
      <c r="E243" t="s">
        <v>556</v>
      </c>
      <c r="F243" t="s">
        <v>563</v>
      </c>
      <c r="G243">
        <v>4</v>
      </c>
      <c r="H243">
        <v>3876</v>
      </c>
      <c r="I243">
        <v>15504</v>
      </c>
      <c r="J243">
        <f t="shared" si="3"/>
        <v>15504</v>
      </c>
      <c r="K243" t="str">
        <f>IF(Table1[[#This Row],[Quantity]]*Table1[[#This Row],[Unit_Price]]=Table1[[#This Row],[Sales]],"Match","Mismatch")</f>
        <v>Match</v>
      </c>
      <c r="L243">
        <f>Table1[[#This Row],[Profit]]/Table1[[#This Row],[Sales]]*100</f>
        <v>100</v>
      </c>
    </row>
    <row r="244" spans="1:12" x14ac:dyDescent="0.25">
      <c r="A244" t="s">
        <v>252</v>
      </c>
      <c r="B244" s="1">
        <v>45323</v>
      </c>
      <c r="C244" t="s">
        <v>476</v>
      </c>
      <c r="D244" t="s">
        <v>550</v>
      </c>
      <c r="E244" t="s">
        <v>553</v>
      </c>
      <c r="F244" t="s">
        <v>560</v>
      </c>
      <c r="G244">
        <v>5</v>
      </c>
      <c r="H244">
        <v>3580</v>
      </c>
      <c r="I244">
        <v>17900</v>
      </c>
      <c r="J244">
        <f t="shared" si="3"/>
        <v>17900</v>
      </c>
      <c r="K244" t="str">
        <f>IF(Table1[[#This Row],[Quantity]]*Table1[[#This Row],[Unit_Price]]=Table1[[#This Row],[Sales]],"Match","Mismatch")</f>
        <v>Match</v>
      </c>
      <c r="L244">
        <f>Table1[[#This Row],[Profit]]/Table1[[#This Row],[Sales]]*100</f>
        <v>100</v>
      </c>
    </row>
    <row r="245" spans="1:12" x14ac:dyDescent="0.25">
      <c r="A245" t="s">
        <v>253</v>
      </c>
      <c r="B245" s="1">
        <v>45507</v>
      </c>
      <c r="C245" t="s">
        <v>413</v>
      </c>
      <c r="D245" t="s">
        <v>551</v>
      </c>
      <c r="E245" t="s">
        <v>555</v>
      </c>
      <c r="F245" t="s">
        <v>575</v>
      </c>
      <c r="G245">
        <v>5</v>
      </c>
      <c r="H245">
        <v>719</v>
      </c>
      <c r="I245">
        <v>3595</v>
      </c>
      <c r="J245">
        <f t="shared" si="3"/>
        <v>3595</v>
      </c>
      <c r="K245" t="str">
        <f>IF(Table1[[#This Row],[Quantity]]*Table1[[#This Row],[Unit_Price]]=Table1[[#This Row],[Sales]],"Match","Mismatch")</f>
        <v>Match</v>
      </c>
      <c r="L245">
        <f>Table1[[#This Row],[Profit]]/Table1[[#This Row],[Sales]]*100</f>
        <v>100</v>
      </c>
    </row>
    <row r="246" spans="1:12" x14ac:dyDescent="0.25">
      <c r="A246" t="s">
        <v>254</v>
      </c>
      <c r="B246" s="1">
        <v>45429</v>
      </c>
      <c r="C246" t="s">
        <v>527</v>
      </c>
      <c r="D246" t="s">
        <v>549</v>
      </c>
      <c r="E246" t="s">
        <v>553</v>
      </c>
      <c r="F246" t="s">
        <v>560</v>
      </c>
      <c r="G246">
        <v>6</v>
      </c>
      <c r="H246">
        <v>790</v>
      </c>
      <c r="I246">
        <v>4740</v>
      </c>
      <c r="J246">
        <f t="shared" si="3"/>
        <v>4740</v>
      </c>
      <c r="K246" t="str">
        <f>IF(Table1[[#This Row],[Quantity]]*Table1[[#This Row],[Unit_Price]]=Table1[[#This Row],[Sales]],"Match","Mismatch")</f>
        <v>Match</v>
      </c>
      <c r="L246">
        <f>Table1[[#This Row],[Profit]]/Table1[[#This Row],[Sales]]*100</f>
        <v>100</v>
      </c>
    </row>
    <row r="247" spans="1:12" x14ac:dyDescent="0.25">
      <c r="A247" t="s">
        <v>255</v>
      </c>
      <c r="B247" s="1">
        <v>45596</v>
      </c>
      <c r="C247" t="s">
        <v>490</v>
      </c>
      <c r="D247" t="s">
        <v>552</v>
      </c>
      <c r="E247" t="s">
        <v>555</v>
      </c>
      <c r="F247" t="s">
        <v>575</v>
      </c>
      <c r="G247">
        <v>9</v>
      </c>
      <c r="H247">
        <v>1250</v>
      </c>
      <c r="I247">
        <v>11250</v>
      </c>
      <c r="J247">
        <f t="shared" si="3"/>
        <v>11250</v>
      </c>
      <c r="K247" t="str">
        <f>IF(Table1[[#This Row],[Quantity]]*Table1[[#This Row],[Unit_Price]]=Table1[[#This Row],[Sales]],"Match","Mismatch")</f>
        <v>Match</v>
      </c>
      <c r="L247">
        <f>Table1[[#This Row],[Profit]]/Table1[[#This Row],[Sales]]*100</f>
        <v>100</v>
      </c>
    </row>
    <row r="248" spans="1:12" x14ac:dyDescent="0.25">
      <c r="A248" t="s">
        <v>256</v>
      </c>
      <c r="B248" s="1">
        <v>45571</v>
      </c>
      <c r="C248" t="s">
        <v>511</v>
      </c>
      <c r="D248" t="s">
        <v>551</v>
      </c>
      <c r="E248" t="s">
        <v>555</v>
      </c>
      <c r="F248" t="s">
        <v>570</v>
      </c>
      <c r="G248">
        <v>2</v>
      </c>
      <c r="H248">
        <v>3833</v>
      </c>
      <c r="I248">
        <v>7666</v>
      </c>
      <c r="J248">
        <f t="shared" si="3"/>
        <v>7666</v>
      </c>
      <c r="K248" t="str">
        <f>IF(Table1[[#This Row],[Quantity]]*Table1[[#This Row],[Unit_Price]]=Table1[[#This Row],[Sales]],"Match","Mismatch")</f>
        <v>Match</v>
      </c>
      <c r="L248">
        <f>Table1[[#This Row],[Profit]]/Table1[[#This Row],[Sales]]*100</f>
        <v>100</v>
      </c>
    </row>
    <row r="249" spans="1:12" x14ac:dyDescent="0.25">
      <c r="A249" t="s">
        <v>257</v>
      </c>
      <c r="B249" s="1">
        <v>45299</v>
      </c>
      <c r="C249" t="s">
        <v>453</v>
      </c>
      <c r="D249" t="s">
        <v>551</v>
      </c>
      <c r="E249" t="s">
        <v>555</v>
      </c>
      <c r="F249" t="s">
        <v>566</v>
      </c>
      <c r="G249">
        <v>5</v>
      </c>
      <c r="H249">
        <v>4644</v>
      </c>
      <c r="I249">
        <v>23220</v>
      </c>
      <c r="J249">
        <f t="shared" si="3"/>
        <v>23220</v>
      </c>
      <c r="K249" t="str">
        <f>IF(Table1[[#This Row],[Quantity]]*Table1[[#This Row],[Unit_Price]]=Table1[[#This Row],[Sales]],"Match","Mismatch")</f>
        <v>Match</v>
      </c>
      <c r="L249">
        <f>Table1[[#This Row],[Profit]]/Table1[[#This Row],[Sales]]*100</f>
        <v>100</v>
      </c>
    </row>
    <row r="250" spans="1:12" x14ac:dyDescent="0.25">
      <c r="A250" t="s">
        <v>258</v>
      </c>
      <c r="B250" s="1">
        <v>45418</v>
      </c>
      <c r="C250" t="s">
        <v>412</v>
      </c>
      <c r="D250" t="s">
        <v>551</v>
      </c>
      <c r="E250" t="s">
        <v>553</v>
      </c>
      <c r="F250" t="s">
        <v>562</v>
      </c>
      <c r="G250">
        <v>3</v>
      </c>
      <c r="H250">
        <v>1159</v>
      </c>
      <c r="I250">
        <v>3477</v>
      </c>
      <c r="J250">
        <f t="shared" si="3"/>
        <v>3477</v>
      </c>
      <c r="K250" t="str">
        <f>IF(Table1[[#This Row],[Quantity]]*Table1[[#This Row],[Unit_Price]]=Table1[[#This Row],[Sales]],"Match","Mismatch")</f>
        <v>Match</v>
      </c>
      <c r="L250">
        <f>Table1[[#This Row],[Profit]]/Table1[[#This Row],[Sales]]*100</f>
        <v>100</v>
      </c>
    </row>
    <row r="251" spans="1:12" x14ac:dyDescent="0.25">
      <c r="A251" t="s">
        <v>259</v>
      </c>
      <c r="B251" s="1">
        <v>45327</v>
      </c>
      <c r="C251" t="s">
        <v>451</v>
      </c>
      <c r="D251" t="s">
        <v>549</v>
      </c>
      <c r="E251" t="s">
        <v>555</v>
      </c>
      <c r="F251" t="s">
        <v>566</v>
      </c>
      <c r="G251">
        <v>4</v>
      </c>
      <c r="H251">
        <v>892</v>
      </c>
      <c r="I251">
        <v>3568</v>
      </c>
      <c r="J251">
        <f t="shared" si="3"/>
        <v>3568</v>
      </c>
      <c r="K251" t="str">
        <f>IF(Table1[[#This Row],[Quantity]]*Table1[[#This Row],[Unit_Price]]=Table1[[#This Row],[Sales]],"Match","Mismatch")</f>
        <v>Match</v>
      </c>
      <c r="L251">
        <f>Table1[[#This Row],[Profit]]/Table1[[#This Row],[Sales]]*100</f>
        <v>100</v>
      </c>
    </row>
    <row r="252" spans="1:12" x14ac:dyDescent="0.25">
      <c r="A252" t="s">
        <v>260</v>
      </c>
      <c r="B252" s="1">
        <v>45590</v>
      </c>
      <c r="C252" t="s">
        <v>498</v>
      </c>
      <c r="D252" t="s">
        <v>552</v>
      </c>
      <c r="E252" t="s">
        <v>554</v>
      </c>
      <c r="F252" t="s">
        <v>573</v>
      </c>
      <c r="G252">
        <v>6</v>
      </c>
      <c r="H252">
        <v>4099</v>
      </c>
      <c r="I252">
        <v>24594</v>
      </c>
      <c r="J252">
        <f t="shared" si="3"/>
        <v>24594</v>
      </c>
      <c r="K252" t="str">
        <f>IF(Table1[[#This Row],[Quantity]]*Table1[[#This Row],[Unit_Price]]=Table1[[#This Row],[Sales]],"Match","Mismatch")</f>
        <v>Match</v>
      </c>
      <c r="L252">
        <f>Table1[[#This Row],[Profit]]/Table1[[#This Row],[Sales]]*100</f>
        <v>100</v>
      </c>
    </row>
    <row r="253" spans="1:12" x14ac:dyDescent="0.25">
      <c r="A253" t="s">
        <v>261</v>
      </c>
      <c r="B253" s="1">
        <v>45598</v>
      </c>
      <c r="C253" t="s">
        <v>533</v>
      </c>
      <c r="D253" t="s">
        <v>551</v>
      </c>
      <c r="E253" t="s">
        <v>553</v>
      </c>
      <c r="F253" t="s">
        <v>557</v>
      </c>
      <c r="G253">
        <v>8</v>
      </c>
      <c r="H253">
        <v>4673</v>
      </c>
      <c r="I253">
        <v>37384</v>
      </c>
      <c r="J253">
        <f t="shared" si="3"/>
        <v>37384</v>
      </c>
      <c r="K253" t="str">
        <f>IF(Table1[[#This Row],[Quantity]]*Table1[[#This Row],[Unit_Price]]=Table1[[#This Row],[Sales]],"Match","Mismatch")</f>
        <v>Match</v>
      </c>
      <c r="L253">
        <f>Table1[[#This Row],[Profit]]/Table1[[#This Row],[Sales]]*100</f>
        <v>100</v>
      </c>
    </row>
    <row r="254" spans="1:12" x14ac:dyDescent="0.25">
      <c r="A254" t="s">
        <v>262</v>
      </c>
      <c r="B254" s="1">
        <v>45561</v>
      </c>
      <c r="C254" t="s">
        <v>494</v>
      </c>
      <c r="D254" t="s">
        <v>550</v>
      </c>
      <c r="E254" t="s">
        <v>554</v>
      </c>
      <c r="F254" t="s">
        <v>573</v>
      </c>
      <c r="G254">
        <v>1</v>
      </c>
      <c r="H254">
        <v>3146</v>
      </c>
      <c r="I254">
        <v>3146</v>
      </c>
      <c r="J254">
        <f t="shared" si="3"/>
        <v>3146</v>
      </c>
      <c r="K254" t="str">
        <f>IF(Table1[[#This Row],[Quantity]]*Table1[[#This Row],[Unit_Price]]=Table1[[#This Row],[Sales]],"Match","Mismatch")</f>
        <v>Match</v>
      </c>
      <c r="L254">
        <f>Table1[[#This Row],[Profit]]/Table1[[#This Row],[Sales]]*100</f>
        <v>100</v>
      </c>
    </row>
    <row r="255" spans="1:12" x14ac:dyDescent="0.25">
      <c r="A255" t="s">
        <v>263</v>
      </c>
      <c r="B255" s="1">
        <v>45296</v>
      </c>
      <c r="C255" t="s">
        <v>436</v>
      </c>
      <c r="D255" t="s">
        <v>551</v>
      </c>
      <c r="E255" t="s">
        <v>555</v>
      </c>
      <c r="F255" t="s">
        <v>559</v>
      </c>
      <c r="G255">
        <v>8</v>
      </c>
      <c r="H255">
        <v>726</v>
      </c>
      <c r="I255">
        <v>5808</v>
      </c>
      <c r="J255">
        <f t="shared" si="3"/>
        <v>5808</v>
      </c>
      <c r="K255" t="str">
        <f>IF(Table1[[#This Row],[Quantity]]*Table1[[#This Row],[Unit_Price]]=Table1[[#This Row],[Sales]],"Match","Mismatch")</f>
        <v>Match</v>
      </c>
      <c r="L255">
        <f>Table1[[#This Row],[Profit]]/Table1[[#This Row],[Sales]]*100</f>
        <v>100</v>
      </c>
    </row>
    <row r="256" spans="1:12" x14ac:dyDescent="0.25">
      <c r="A256" t="s">
        <v>264</v>
      </c>
      <c r="B256" s="1">
        <v>45505</v>
      </c>
      <c r="C256" t="s">
        <v>450</v>
      </c>
      <c r="D256" t="s">
        <v>551</v>
      </c>
      <c r="E256" t="s">
        <v>556</v>
      </c>
      <c r="F256" t="s">
        <v>563</v>
      </c>
      <c r="G256">
        <v>7</v>
      </c>
      <c r="H256">
        <v>3424</v>
      </c>
      <c r="I256">
        <v>23968</v>
      </c>
      <c r="J256">
        <f t="shared" si="3"/>
        <v>23968</v>
      </c>
      <c r="K256" t="str">
        <f>IF(Table1[[#This Row],[Quantity]]*Table1[[#This Row],[Unit_Price]]=Table1[[#This Row],[Sales]],"Match","Mismatch")</f>
        <v>Match</v>
      </c>
      <c r="L256">
        <f>Table1[[#This Row],[Profit]]/Table1[[#This Row],[Sales]]*100</f>
        <v>100</v>
      </c>
    </row>
    <row r="257" spans="1:12" x14ac:dyDescent="0.25">
      <c r="A257" t="s">
        <v>265</v>
      </c>
      <c r="B257" s="1">
        <v>45463</v>
      </c>
      <c r="C257" t="s">
        <v>521</v>
      </c>
      <c r="D257" t="s">
        <v>549</v>
      </c>
      <c r="E257" t="s">
        <v>555</v>
      </c>
      <c r="F257" t="s">
        <v>567</v>
      </c>
      <c r="G257">
        <v>1</v>
      </c>
      <c r="H257">
        <v>2453</v>
      </c>
      <c r="I257">
        <v>2453</v>
      </c>
      <c r="J257">
        <f t="shared" si="3"/>
        <v>2453</v>
      </c>
      <c r="K257" t="str">
        <f>IF(Table1[[#This Row],[Quantity]]*Table1[[#This Row],[Unit_Price]]=Table1[[#This Row],[Sales]],"Match","Mismatch")</f>
        <v>Match</v>
      </c>
      <c r="L257">
        <f>Table1[[#This Row],[Profit]]/Table1[[#This Row],[Sales]]*100</f>
        <v>100</v>
      </c>
    </row>
    <row r="258" spans="1:12" x14ac:dyDescent="0.25">
      <c r="A258" t="s">
        <v>266</v>
      </c>
      <c r="B258" s="1">
        <v>45650</v>
      </c>
      <c r="C258" t="s">
        <v>504</v>
      </c>
      <c r="D258" t="s">
        <v>549</v>
      </c>
      <c r="E258" t="s">
        <v>554</v>
      </c>
      <c r="F258" t="s">
        <v>573</v>
      </c>
      <c r="G258">
        <v>2</v>
      </c>
      <c r="H258">
        <v>3544</v>
      </c>
      <c r="I258">
        <v>7088</v>
      </c>
      <c r="J258">
        <f t="shared" si="3"/>
        <v>7088</v>
      </c>
      <c r="K258" t="str">
        <f>IF(Table1[[#This Row],[Quantity]]*Table1[[#This Row],[Unit_Price]]=Table1[[#This Row],[Sales]],"Match","Mismatch")</f>
        <v>Match</v>
      </c>
      <c r="L258">
        <f>Table1[[#This Row],[Profit]]/Table1[[#This Row],[Sales]]*100</f>
        <v>100</v>
      </c>
    </row>
    <row r="259" spans="1:12" x14ac:dyDescent="0.25">
      <c r="A259" t="s">
        <v>267</v>
      </c>
      <c r="B259" s="1">
        <v>45605</v>
      </c>
      <c r="C259" t="s">
        <v>413</v>
      </c>
      <c r="D259" t="s">
        <v>552</v>
      </c>
      <c r="E259" t="s">
        <v>554</v>
      </c>
      <c r="F259" t="s">
        <v>573</v>
      </c>
      <c r="G259">
        <v>3</v>
      </c>
      <c r="H259">
        <v>4165</v>
      </c>
      <c r="I259">
        <v>12495</v>
      </c>
      <c r="J259">
        <f t="shared" ref="J259:J322" si="4">IF(ISBLANK(I259),$J$2:$J$401,I259)</f>
        <v>12495</v>
      </c>
      <c r="K259" t="str">
        <f>IF(Table1[[#This Row],[Quantity]]*Table1[[#This Row],[Unit_Price]]=Table1[[#This Row],[Sales]],"Match","Mismatch")</f>
        <v>Match</v>
      </c>
      <c r="L259">
        <f>Table1[[#This Row],[Profit]]/Table1[[#This Row],[Sales]]*100</f>
        <v>100</v>
      </c>
    </row>
    <row r="260" spans="1:12" x14ac:dyDescent="0.25">
      <c r="A260" t="s">
        <v>268</v>
      </c>
      <c r="B260" s="1">
        <v>45580</v>
      </c>
      <c r="C260" t="s">
        <v>460</v>
      </c>
      <c r="D260" t="s">
        <v>550</v>
      </c>
      <c r="E260" t="s">
        <v>553</v>
      </c>
      <c r="F260" t="s">
        <v>562</v>
      </c>
      <c r="G260">
        <v>1</v>
      </c>
      <c r="H260">
        <v>2075</v>
      </c>
      <c r="I260">
        <v>2075</v>
      </c>
      <c r="J260">
        <f t="shared" si="4"/>
        <v>2075</v>
      </c>
      <c r="K260" t="str">
        <f>IF(Table1[[#This Row],[Quantity]]*Table1[[#This Row],[Unit_Price]]=Table1[[#This Row],[Sales]],"Match","Mismatch")</f>
        <v>Match</v>
      </c>
      <c r="L260">
        <f>Table1[[#This Row],[Profit]]/Table1[[#This Row],[Sales]]*100</f>
        <v>100</v>
      </c>
    </row>
    <row r="261" spans="1:12" x14ac:dyDescent="0.25">
      <c r="A261" t="s">
        <v>269</v>
      </c>
      <c r="B261" s="1">
        <v>45530</v>
      </c>
      <c r="C261" t="s">
        <v>466</v>
      </c>
      <c r="D261" t="s">
        <v>549</v>
      </c>
      <c r="E261" t="s">
        <v>556</v>
      </c>
      <c r="F261" t="s">
        <v>569</v>
      </c>
      <c r="G261">
        <v>9</v>
      </c>
      <c r="H261">
        <v>1963</v>
      </c>
      <c r="I261">
        <v>17667</v>
      </c>
      <c r="J261">
        <f t="shared" si="4"/>
        <v>17667</v>
      </c>
      <c r="K261" t="str">
        <f>IF(Table1[[#This Row],[Quantity]]*Table1[[#This Row],[Unit_Price]]=Table1[[#This Row],[Sales]],"Match","Mismatch")</f>
        <v>Match</v>
      </c>
      <c r="L261">
        <f>Table1[[#This Row],[Profit]]/Table1[[#This Row],[Sales]]*100</f>
        <v>100</v>
      </c>
    </row>
    <row r="262" spans="1:12" x14ac:dyDescent="0.25">
      <c r="A262" t="s">
        <v>270</v>
      </c>
      <c r="B262" s="1">
        <v>45531</v>
      </c>
      <c r="C262" t="s">
        <v>494</v>
      </c>
      <c r="D262" t="s">
        <v>551</v>
      </c>
      <c r="E262" t="s">
        <v>553</v>
      </c>
      <c r="F262" t="s">
        <v>571</v>
      </c>
      <c r="G262">
        <v>8</v>
      </c>
      <c r="H262">
        <v>720</v>
      </c>
      <c r="I262">
        <v>5760</v>
      </c>
      <c r="J262">
        <f t="shared" si="4"/>
        <v>5760</v>
      </c>
      <c r="K262" t="str">
        <f>IF(Table1[[#This Row],[Quantity]]*Table1[[#This Row],[Unit_Price]]=Table1[[#This Row],[Sales]],"Match","Mismatch")</f>
        <v>Match</v>
      </c>
      <c r="L262">
        <f>Table1[[#This Row],[Profit]]/Table1[[#This Row],[Sales]]*100</f>
        <v>100</v>
      </c>
    </row>
    <row r="263" spans="1:12" x14ac:dyDescent="0.25">
      <c r="A263" t="s">
        <v>271</v>
      </c>
      <c r="B263" s="1">
        <v>45417</v>
      </c>
      <c r="C263" t="s">
        <v>523</v>
      </c>
      <c r="D263" t="s">
        <v>552</v>
      </c>
      <c r="E263" t="s">
        <v>554</v>
      </c>
      <c r="F263" t="s">
        <v>572</v>
      </c>
      <c r="G263">
        <v>2</v>
      </c>
      <c r="H263">
        <v>1216</v>
      </c>
      <c r="I263">
        <v>2432</v>
      </c>
      <c r="J263">
        <f t="shared" si="4"/>
        <v>2432</v>
      </c>
      <c r="K263" t="str">
        <f>IF(Table1[[#This Row],[Quantity]]*Table1[[#This Row],[Unit_Price]]=Table1[[#This Row],[Sales]],"Match","Mismatch")</f>
        <v>Match</v>
      </c>
      <c r="L263">
        <f>Table1[[#This Row],[Profit]]/Table1[[#This Row],[Sales]]*100</f>
        <v>100</v>
      </c>
    </row>
    <row r="264" spans="1:12" x14ac:dyDescent="0.25">
      <c r="A264" t="s">
        <v>272</v>
      </c>
      <c r="B264" s="1">
        <v>45420</v>
      </c>
      <c r="C264" t="s">
        <v>534</v>
      </c>
      <c r="D264" t="s">
        <v>551</v>
      </c>
      <c r="E264" t="s">
        <v>555</v>
      </c>
      <c r="F264" t="s">
        <v>575</v>
      </c>
      <c r="G264">
        <v>9</v>
      </c>
      <c r="H264">
        <v>316</v>
      </c>
      <c r="I264">
        <v>2844</v>
      </c>
      <c r="J264">
        <f t="shared" si="4"/>
        <v>2844</v>
      </c>
      <c r="K264" t="str">
        <f>IF(Table1[[#This Row],[Quantity]]*Table1[[#This Row],[Unit_Price]]=Table1[[#This Row],[Sales]],"Match","Mismatch")</f>
        <v>Match</v>
      </c>
      <c r="L264">
        <f>Table1[[#This Row],[Profit]]/Table1[[#This Row],[Sales]]*100</f>
        <v>100</v>
      </c>
    </row>
    <row r="265" spans="1:12" x14ac:dyDescent="0.25">
      <c r="A265" t="s">
        <v>273</v>
      </c>
      <c r="B265" s="1">
        <v>45489</v>
      </c>
      <c r="C265" t="s">
        <v>483</v>
      </c>
      <c r="D265" t="s">
        <v>551</v>
      </c>
      <c r="E265" t="s">
        <v>556</v>
      </c>
      <c r="F265" t="s">
        <v>561</v>
      </c>
      <c r="G265">
        <v>7</v>
      </c>
      <c r="H265">
        <v>2633</v>
      </c>
      <c r="I265">
        <v>18431</v>
      </c>
      <c r="J265">
        <f t="shared" si="4"/>
        <v>18431</v>
      </c>
      <c r="K265" t="str">
        <f>IF(Table1[[#This Row],[Quantity]]*Table1[[#This Row],[Unit_Price]]=Table1[[#This Row],[Sales]],"Match","Mismatch")</f>
        <v>Match</v>
      </c>
      <c r="L265">
        <f>Table1[[#This Row],[Profit]]/Table1[[#This Row],[Sales]]*100</f>
        <v>100</v>
      </c>
    </row>
    <row r="266" spans="1:12" x14ac:dyDescent="0.25">
      <c r="A266" t="s">
        <v>274</v>
      </c>
      <c r="B266" s="1">
        <v>45462</v>
      </c>
      <c r="C266" t="s">
        <v>519</v>
      </c>
      <c r="D266" t="s">
        <v>549</v>
      </c>
      <c r="E266" t="s">
        <v>555</v>
      </c>
      <c r="F266" t="s">
        <v>566</v>
      </c>
      <c r="G266">
        <v>9</v>
      </c>
      <c r="H266">
        <v>783</v>
      </c>
      <c r="I266">
        <v>7047</v>
      </c>
      <c r="J266">
        <f t="shared" si="4"/>
        <v>7047</v>
      </c>
      <c r="K266" t="str">
        <f>IF(Table1[[#This Row],[Quantity]]*Table1[[#This Row],[Unit_Price]]=Table1[[#This Row],[Sales]],"Match","Mismatch")</f>
        <v>Match</v>
      </c>
      <c r="L266">
        <f>Table1[[#This Row],[Profit]]/Table1[[#This Row],[Sales]]*100</f>
        <v>100</v>
      </c>
    </row>
    <row r="267" spans="1:12" x14ac:dyDescent="0.25">
      <c r="A267" t="s">
        <v>275</v>
      </c>
      <c r="B267" s="1">
        <v>45437</v>
      </c>
      <c r="C267" t="s">
        <v>472</v>
      </c>
      <c r="D267" t="s">
        <v>552</v>
      </c>
      <c r="E267" t="s">
        <v>555</v>
      </c>
      <c r="F267" t="s">
        <v>570</v>
      </c>
      <c r="G267">
        <v>6</v>
      </c>
      <c r="H267">
        <v>594</v>
      </c>
      <c r="I267">
        <v>3564</v>
      </c>
      <c r="J267">
        <f t="shared" si="4"/>
        <v>3564</v>
      </c>
      <c r="K267" t="str">
        <f>IF(Table1[[#This Row],[Quantity]]*Table1[[#This Row],[Unit_Price]]=Table1[[#This Row],[Sales]],"Match","Mismatch")</f>
        <v>Match</v>
      </c>
      <c r="L267">
        <f>Table1[[#This Row],[Profit]]/Table1[[#This Row],[Sales]]*100</f>
        <v>100</v>
      </c>
    </row>
    <row r="268" spans="1:12" x14ac:dyDescent="0.25">
      <c r="A268" t="s">
        <v>276</v>
      </c>
      <c r="B268" s="1">
        <v>45418</v>
      </c>
      <c r="C268" t="s">
        <v>410</v>
      </c>
      <c r="D268" t="s">
        <v>550</v>
      </c>
      <c r="E268" t="s">
        <v>556</v>
      </c>
      <c r="F268" t="s">
        <v>569</v>
      </c>
      <c r="G268">
        <v>6</v>
      </c>
      <c r="H268">
        <v>3988</v>
      </c>
      <c r="I268">
        <v>23928</v>
      </c>
      <c r="J268">
        <f t="shared" si="4"/>
        <v>23928</v>
      </c>
      <c r="K268" t="str">
        <f>IF(Table1[[#This Row],[Quantity]]*Table1[[#This Row],[Unit_Price]]=Table1[[#This Row],[Sales]],"Match","Mismatch")</f>
        <v>Match</v>
      </c>
      <c r="L268">
        <f>Table1[[#This Row],[Profit]]/Table1[[#This Row],[Sales]]*100</f>
        <v>100</v>
      </c>
    </row>
    <row r="269" spans="1:12" x14ac:dyDescent="0.25">
      <c r="A269" t="s">
        <v>277</v>
      </c>
      <c r="B269" s="1">
        <v>45353</v>
      </c>
      <c r="C269" t="s">
        <v>484</v>
      </c>
      <c r="D269" t="s">
        <v>550</v>
      </c>
      <c r="E269" t="s">
        <v>553</v>
      </c>
      <c r="F269" t="s">
        <v>571</v>
      </c>
      <c r="G269">
        <v>4</v>
      </c>
      <c r="H269">
        <v>2968</v>
      </c>
      <c r="I269">
        <v>11872</v>
      </c>
      <c r="J269">
        <f t="shared" si="4"/>
        <v>11872</v>
      </c>
      <c r="K269" t="str">
        <f>IF(Table1[[#This Row],[Quantity]]*Table1[[#This Row],[Unit_Price]]=Table1[[#This Row],[Sales]],"Match","Mismatch")</f>
        <v>Match</v>
      </c>
      <c r="L269">
        <f>Table1[[#This Row],[Profit]]/Table1[[#This Row],[Sales]]*100</f>
        <v>100</v>
      </c>
    </row>
    <row r="270" spans="1:12" x14ac:dyDescent="0.25">
      <c r="A270" t="s">
        <v>278</v>
      </c>
      <c r="B270" s="1">
        <v>45466</v>
      </c>
      <c r="C270" t="s">
        <v>465</v>
      </c>
      <c r="D270" t="s">
        <v>549</v>
      </c>
      <c r="E270" t="s">
        <v>555</v>
      </c>
      <c r="F270" t="s">
        <v>559</v>
      </c>
      <c r="G270">
        <v>2</v>
      </c>
      <c r="H270">
        <v>4367</v>
      </c>
      <c r="I270">
        <v>8734</v>
      </c>
      <c r="J270">
        <f t="shared" si="4"/>
        <v>8734</v>
      </c>
      <c r="K270" t="str">
        <f>IF(Table1[[#This Row],[Quantity]]*Table1[[#This Row],[Unit_Price]]=Table1[[#This Row],[Sales]],"Match","Mismatch")</f>
        <v>Match</v>
      </c>
      <c r="L270">
        <f>Table1[[#This Row],[Profit]]/Table1[[#This Row],[Sales]]*100</f>
        <v>100</v>
      </c>
    </row>
    <row r="271" spans="1:12" x14ac:dyDescent="0.25">
      <c r="A271" t="s">
        <v>279</v>
      </c>
      <c r="B271" s="1">
        <v>45318</v>
      </c>
      <c r="C271" t="s">
        <v>437</v>
      </c>
      <c r="D271" t="s">
        <v>549</v>
      </c>
      <c r="E271" t="s">
        <v>554</v>
      </c>
      <c r="F271" t="s">
        <v>574</v>
      </c>
      <c r="G271">
        <v>7</v>
      </c>
      <c r="H271">
        <v>4060</v>
      </c>
      <c r="I271">
        <v>28420</v>
      </c>
      <c r="J271">
        <f t="shared" si="4"/>
        <v>28420</v>
      </c>
      <c r="K271" t="str">
        <f>IF(Table1[[#This Row],[Quantity]]*Table1[[#This Row],[Unit_Price]]=Table1[[#This Row],[Sales]],"Match","Mismatch")</f>
        <v>Match</v>
      </c>
      <c r="L271">
        <f>Table1[[#This Row],[Profit]]/Table1[[#This Row],[Sales]]*100</f>
        <v>100</v>
      </c>
    </row>
    <row r="272" spans="1:12" x14ac:dyDescent="0.25">
      <c r="A272" t="s">
        <v>280</v>
      </c>
      <c r="B272" s="1">
        <v>45546</v>
      </c>
      <c r="C272" t="s">
        <v>421</v>
      </c>
      <c r="D272" t="s">
        <v>552</v>
      </c>
      <c r="E272" t="s">
        <v>555</v>
      </c>
      <c r="F272" t="s">
        <v>570</v>
      </c>
      <c r="G272">
        <v>5</v>
      </c>
      <c r="H272">
        <v>473</v>
      </c>
      <c r="I272">
        <v>2365</v>
      </c>
      <c r="J272">
        <f t="shared" si="4"/>
        <v>2365</v>
      </c>
      <c r="K272" t="str">
        <f>IF(Table1[[#This Row],[Quantity]]*Table1[[#This Row],[Unit_Price]]=Table1[[#This Row],[Sales]],"Match","Mismatch")</f>
        <v>Match</v>
      </c>
      <c r="L272">
        <f>Table1[[#This Row],[Profit]]/Table1[[#This Row],[Sales]]*100</f>
        <v>100</v>
      </c>
    </row>
    <row r="273" spans="1:12" x14ac:dyDescent="0.25">
      <c r="A273" t="s">
        <v>281</v>
      </c>
      <c r="B273" s="1">
        <v>45587</v>
      </c>
      <c r="C273" t="s">
        <v>478</v>
      </c>
      <c r="D273" t="s">
        <v>550</v>
      </c>
      <c r="E273" t="s">
        <v>556</v>
      </c>
      <c r="F273" t="s">
        <v>569</v>
      </c>
      <c r="G273">
        <v>6</v>
      </c>
      <c r="H273">
        <v>2213</v>
      </c>
      <c r="I273">
        <v>13278</v>
      </c>
      <c r="J273">
        <f t="shared" si="4"/>
        <v>13278</v>
      </c>
      <c r="K273" t="str">
        <f>IF(Table1[[#This Row],[Quantity]]*Table1[[#This Row],[Unit_Price]]=Table1[[#This Row],[Sales]],"Match","Mismatch")</f>
        <v>Match</v>
      </c>
      <c r="L273">
        <f>Table1[[#This Row],[Profit]]/Table1[[#This Row],[Sales]]*100</f>
        <v>100</v>
      </c>
    </row>
    <row r="274" spans="1:12" x14ac:dyDescent="0.25">
      <c r="A274" t="s">
        <v>282</v>
      </c>
      <c r="B274" s="1">
        <v>45453</v>
      </c>
      <c r="C274" t="s">
        <v>522</v>
      </c>
      <c r="D274" t="s">
        <v>550</v>
      </c>
      <c r="E274" t="s">
        <v>556</v>
      </c>
      <c r="F274" t="s">
        <v>565</v>
      </c>
      <c r="G274">
        <v>2</v>
      </c>
      <c r="H274">
        <v>4633</v>
      </c>
      <c r="I274">
        <v>9266</v>
      </c>
      <c r="J274">
        <f t="shared" si="4"/>
        <v>9266</v>
      </c>
      <c r="K274" t="str">
        <f>IF(Table1[[#This Row],[Quantity]]*Table1[[#This Row],[Unit_Price]]=Table1[[#This Row],[Sales]],"Match","Mismatch")</f>
        <v>Match</v>
      </c>
      <c r="L274">
        <f>Table1[[#This Row],[Profit]]/Table1[[#This Row],[Sales]]*100</f>
        <v>100</v>
      </c>
    </row>
    <row r="275" spans="1:12" x14ac:dyDescent="0.25">
      <c r="A275" t="s">
        <v>283</v>
      </c>
      <c r="B275" s="1">
        <v>45553</v>
      </c>
      <c r="C275" t="s">
        <v>520</v>
      </c>
      <c r="D275" t="s">
        <v>550</v>
      </c>
      <c r="E275" t="s">
        <v>556</v>
      </c>
      <c r="F275" t="s">
        <v>569</v>
      </c>
      <c r="G275">
        <v>5</v>
      </c>
      <c r="H275">
        <v>1589</v>
      </c>
      <c r="I275">
        <v>7945</v>
      </c>
      <c r="J275">
        <f t="shared" si="4"/>
        <v>7945</v>
      </c>
      <c r="K275" t="str">
        <f>IF(Table1[[#This Row],[Quantity]]*Table1[[#This Row],[Unit_Price]]=Table1[[#This Row],[Sales]],"Match","Mismatch")</f>
        <v>Match</v>
      </c>
      <c r="L275">
        <f>Table1[[#This Row],[Profit]]/Table1[[#This Row],[Sales]]*100</f>
        <v>100</v>
      </c>
    </row>
    <row r="276" spans="1:12" x14ac:dyDescent="0.25">
      <c r="A276" t="s">
        <v>284</v>
      </c>
      <c r="B276" s="1">
        <v>45603</v>
      </c>
      <c r="C276" t="s">
        <v>516</v>
      </c>
      <c r="D276" t="s">
        <v>551</v>
      </c>
      <c r="E276" t="s">
        <v>553</v>
      </c>
      <c r="F276" t="s">
        <v>557</v>
      </c>
      <c r="G276">
        <v>4</v>
      </c>
      <c r="H276">
        <v>3766</v>
      </c>
      <c r="I276">
        <v>15064</v>
      </c>
      <c r="J276">
        <f t="shared" si="4"/>
        <v>15064</v>
      </c>
      <c r="K276" t="str">
        <f>IF(Table1[[#This Row],[Quantity]]*Table1[[#This Row],[Unit_Price]]=Table1[[#This Row],[Sales]],"Match","Mismatch")</f>
        <v>Match</v>
      </c>
      <c r="L276">
        <f>Table1[[#This Row],[Profit]]/Table1[[#This Row],[Sales]]*100</f>
        <v>100</v>
      </c>
    </row>
    <row r="277" spans="1:12" x14ac:dyDescent="0.25">
      <c r="A277" t="s">
        <v>285</v>
      </c>
      <c r="B277" s="1">
        <v>45399</v>
      </c>
      <c r="C277" t="s">
        <v>506</v>
      </c>
      <c r="D277" t="s">
        <v>550</v>
      </c>
      <c r="E277" t="s">
        <v>555</v>
      </c>
      <c r="F277" t="s">
        <v>559</v>
      </c>
      <c r="G277">
        <v>9</v>
      </c>
      <c r="H277">
        <v>4902</v>
      </c>
      <c r="I277">
        <v>44118</v>
      </c>
      <c r="J277">
        <f t="shared" si="4"/>
        <v>44118</v>
      </c>
      <c r="K277" t="str">
        <f>IF(Table1[[#This Row],[Quantity]]*Table1[[#This Row],[Unit_Price]]=Table1[[#This Row],[Sales]],"Match","Mismatch")</f>
        <v>Match</v>
      </c>
      <c r="L277">
        <f>Table1[[#This Row],[Profit]]/Table1[[#This Row],[Sales]]*100</f>
        <v>100</v>
      </c>
    </row>
    <row r="278" spans="1:12" x14ac:dyDescent="0.25">
      <c r="A278" t="s">
        <v>286</v>
      </c>
      <c r="B278" s="1">
        <v>45529</v>
      </c>
      <c r="C278" t="s">
        <v>445</v>
      </c>
      <c r="D278" t="s">
        <v>551</v>
      </c>
      <c r="E278" t="s">
        <v>553</v>
      </c>
      <c r="F278" t="s">
        <v>571</v>
      </c>
      <c r="G278">
        <v>6</v>
      </c>
      <c r="H278">
        <v>365</v>
      </c>
      <c r="I278">
        <v>2190</v>
      </c>
      <c r="J278">
        <f t="shared" si="4"/>
        <v>2190</v>
      </c>
      <c r="K278" t="str">
        <f>IF(Table1[[#This Row],[Quantity]]*Table1[[#This Row],[Unit_Price]]=Table1[[#This Row],[Sales]],"Match","Mismatch")</f>
        <v>Match</v>
      </c>
      <c r="L278">
        <f>Table1[[#This Row],[Profit]]/Table1[[#This Row],[Sales]]*100</f>
        <v>100</v>
      </c>
    </row>
    <row r="279" spans="1:12" x14ac:dyDescent="0.25">
      <c r="A279" t="s">
        <v>287</v>
      </c>
      <c r="B279" s="1">
        <v>45331</v>
      </c>
      <c r="C279" t="s">
        <v>535</v>
      </c>
      <c r="D279" t="s">
        <v>552</v>
      </c>
      <c r="E279" t="s">
        <v>553</v>
      </c>
      <c r="F279" t="s">
        <v>571</v>
      </c>
      <c r="G279">
        <v>2</v>
      </c>
      <c r="H279">
        <v>1767</v>
      </c>
      <c r="I279">
        <v>3534</v>
      </c>
      <c r="J279">
        <f t="shared" si="4"/>
        <v>3534</v>
      </c>
      <c r="K279" t="str">
        <f>IF(Table1[[#This Row],[Quantity]]*Table1[[#This Row],[Unit_Price]]=Table1[[#This Row],[Sales]],"Match","Mismatch")</f>
        <v>Match</v>
      </c>
      <c r="L279">
        <f>Table1[[#This Row],[Profit]]/Table1[[#This Row],[Sales]]*100</f>
        <v>100</v>
      </c>
    </row>
    <row r="280" spans="1:12" x14ac:dyDescent="0.25">
      <c r="A280" t="s">
        <v>288</v>
      </c>
      <c r="B280" s="1">
        <v>45315</v>
      </c>
      <c r="C280" t="s">
        <v>465</v>
      </c>
      <c r="D280" t="s">
        <v>551</v>
      </c>
      <c r="E280" t="s">
        <v>556</v>
      </c>
      <c r="F280" t="s">
        <v>565</v>
      </c>
      <c r="G280">
        <v>1</v>
      </c>
      <c r="H280">
        <v>928</v>
      </c>
      <c r="I280">
        <v>928</v>
      </c>
      <c r="J280">
        <f t="shared" si="4"/>
        <v>928</v>
      </c>
      <c r="K280" t="str">
        <f>IF(Table1[[#This Row],[Quantity]]*Table1[[#This Row],[Unit_Price]]=Table1[[#This Row],[Sales]],"Match","Mismatch")</f>
        <v>Match</v>
      </c>
      <c r="L280">
        <f>Table1[[#This Row],[Profit]]/Table1[[#This Row],[Sales]]*100</f>
        <v>100</v>
      </c>
    </row>
    <row r="281" spans="1:12" x14ac:dyDescent="0.25">
      <c r="A281" t="s">
        <v>289</v>
      </c>
      <c r="B281" s="1">
        <v>45361</v>
      </c>
      <c r="C281" t="s">
        <v>505</v>
      </c>
      <c r="D281" t="s">
        <v>552</v>
      </c>
      <c r="E281" t="s">
        <v>556</v>
      </c>
      <c r="F281" t="s">
        <v>568</v>
      </c>
      <c r="G281">
        <v>5</v>
      </c>
      <c r="H281">
        <v>2243</v>
      </c>
      <c r="I281">
        <v>11215</v>
      </c>
      <c r="J281">
        <f t="shared" si="4"/>
        <v>11215</v>
      </c>
      <c r="K281" t="str">
        <f>IF(Table1[[#This Row],[Quantity]]*Table1[[#This Row],[Unit_Price]]=Table1[[#This Row],[Sales]],"Match","Mismatch")</f>
        <v>Match</v>
      </c>
      <c r="L281">
        <f>Table1[[#This Row],[Profit]]/Table1[[#This Row],[Sales]]*100</f>
        <v>100</v>
      </c>
    </row>
    <row r="282" spans="1:12" x14ac:dyDescent="0.25">
      <c r="A282" t="s">
        <v>290</v>
      </c>
      <c r="B282" s="1">
        <v>45470</v>
      </c>
      <c r="C282" t="s">
        <v>448</v>
      </c>
      <c r="D282" t="s">
        <v>550</v>
      </c>
      <c r="E282" t="s">
        <v>553</v>
      </c>
      <c r="F282" t="s">
        <v>560</v>
      </c>
      <c r="G282">
        <v>9</v>
      </c>
      <c r="H282">
        <v>4397</v>
      </c>
      <c r="I282">
        <v>39573</v>
      </c>
      <c r="J282">
        <f t="shared" si="4"/>
        <v>39573</v>
      </c>
      <c r="K282" t="str">
        <f>IF(Table1[[#This Row],[Quantity]]*Table1[[#This Row],[Unit_Price]]=Table1[[#This Row],[Sales]],"Match","Mismatch")</f>
        <v>Match</v>
      </c>
      <c r="L282">
        <f>Table1[[#This Row],[Profit]]/Table1[[#This Row],[Sales]]*100</f>
        <v>100</v>
      </c>
    </row>
    <row r="283" spans="1:12" x14ac:dyDescent="0.25">
      <c r="A283" t="s">
        <v>291</v>
      </c>
      <c r="B283" s="1">
        <v>45517</v>
      </c>
      <c r="C283" t="s">
        <v>425</v>
      </c>
      <c r="D283" t="s">
        <v>550</v>
      </c>
      <c r="E283" t="s">
        <v>555</v>
      </c>
      <c r="F283" t="s">
        <v>566</v>
      </c>
      <c r="G283">
        <v>6</v>
      </c>
      <c r="H283">
        <v>3696</v>
      </c>
      <c r="I283">
        <v>22176</v>
      </c>
      <c r="J283">
        <f t="shared" si="4"/>
        <v>22176</v>
      </c>
      <c r="K283" t="str">
        <f>IF(Table1[[#This Row],[Quantity]]*Table1[[#This Row],[Unit_Price]]=Table1[[#This Row],[Sales]],"Match","Mismatch")</f>
        <v>Match</v>
      </c>
      <c r="L283">
        <f>Table1[[#This Row],[Profit]]/Table1[[#This Row],[Sales]]*100</f>
        <v>100</v>
      </c>
    </row>
    <row r="284" spans="1:12" x14ac:dyDescent="0.25">
      <c r="A284" t="s">
        <v>292</v>
      </c>
      <c r="B284" s="1">
        <v>45314</v>
      </c>
      <c r="C284" t="s">
        <v>454</v>
      </c>
      <c r="D284" t="s">
        <v>552</v>
      </c>
      <c r="E284" t="s">
        <v>554</v>
      </c>
      <c r="F284" t="s">
        <v>558</v>
      </c>
      <c r="G284">
        <v>7</v>
      </c>
      <c r="H284">
        <v>978</v>
      </c>
      <c r="I284">
        <v>6846</v>
      </c>
      <c r="J284">
        <f t="shared" si="4"/>
        <v>6846</v>
      </c>
      <c r="K284" t="str">
        <f>IF(Table1[[#This Row],[Quantity]]*Table1[[#This Row],[Unit_Price]]=Table1[[#This Row],[Sales]],"Match","Mismatch")</f>
        <v>Match</v>
      </c>
      <c r="L284">
        <f>Table1[[#This Row],[Profit]]/Table1[[#This Row],[Sales]]*100</f>
        <v>100</v>
      </c>
    </row>
    <row r="285" spans="1:12" x14ac:dyDescent="0.25">
      <c r="A285" t="s">
        <v>293</v>
      </c>
      <c r="B285" s="1">
        <v>45395</v>
      </c>
      <c r="C285" t="s">
        <v>518</v>
      </c>
      <c r="D285" t="s">
        <v>549</v>
      </c>
      <c r="E285" t="s">
        <v>553</v>
      </c>
      <c r="F285" t="s">
        <v>571</v>
      </c>
      <c r="G285">
        <v>5</v>
      </c>
      <c r="H285">
        <v>413</v>
      </c>
      <c r="I285">
        <v>2065</v>
      </c>
      <c r="J285">
        <f t="shared" si="4"/>
        <v>2065</v>
      </c>
      <c r="K285" t="str">
        <f>IF(Table1[[#This Row],[Quantity]]*Table1[[#This Row],[Unit_Price]]=Table1[[#This Row],[Sales]],"Match","Mismatch")</f>
        <v>Match</v>
      </c>
      <c r="L285">
        <f>Table1[[#This Row],[Profit]]/Table1[[#This Row],[Sales]]*100</f>
        <v>100</v>
      </c>
    </row>
    <row r="286" spans="1:12" x14ac:dyDescent="0.25">
      <c r="A286" t="s">
        <v>294</v>
      </c>
      <c r="B286" s="1">
        <v>45581</v>
      </c>
      <c r="C286" t="s">
        <v>536</v>
      </c>
      <c r="D286" t="s">
        <v>552</v>
      </c>
      <c r="E286" t="s">
        <v>555</v>
      </c>
      <c r="F286" t="s">
        <v>567</v>
      </c>
      <c r="G286">
        <v>6</v>
      </c>
      <c r="H286">
        <v>3962</v>
      </c>
      <c r="I286">
        <v>23772</v>
      </c>
      <c r="J286">
        <f t="shared" si="4"/>
        <v>23772</v>
      </c>
      <c r="K286" t="str">
        <f>IF(Table1[[#This Row],[Quantity]]*Table1[[#This Row],[Unit_Price]]=Table1[[#This Row],[Sales]],"Match","Mismatch")</f>
        <v>Match</v>
      </c>
      <c r="L286">
        <f>Table1[[#This Row],[Profit]]/Table1[[#This Row],[Sales]]*100</f>
        <v>100</v>
      </c>
    </row>
    <row r="287" spans="1:12" x14ac:dyDescent="0.25">
      <c r="A287" t="s">
        <v>295</v>
      </c>
      <c r="B287" s="1">
        <v>45346</v>
      </c>
      <c r="C287" t="s">
        <v>441</v>
      </c>
      <c r="D287" t="s">
        <v>549</v>
      </c>
      <c r="E287" t="s">
        <v>556</v>
      </c>
      <c r="F287" t="s">
        <v>565</v>
      </c>
      <c r="G287">
        <v>5</v>
      </c>
      <c r="H287">
        <v>1776</v>
      </c>
      <c r="I287">
        <v>8880</v>
      </c>
      <c r="J287">
        <f t="shared" si="4"/>
        <v>8880</v>
      </c>
      <c r="K287" t="str">
        <f>IF(Table1[[#This Row],[Quantity]]*Table1[[#This Row],[Unit_Price]]=Table1[[#This Row],[Sales]],"Match","Mismatch")</f>
        <v>Match</v>
      </c>
      <c r="L287">
        <f>Table1[[#This Row],[Profit]]/Table1[[#This Row],[Sales]]*100</f>
        <v>100</v>
      </c>
    </row>
    <row r="288" spans="1:12" x14ac:dyDescent="0.25">
      <c r="A288" t="s">
        <v>296</v>
      </c>
      <c r="B288" s="1">
        <v>45486</v>
      </c>
      <c r="C288" t="s">
        <v>438</v>
      </c>
      <c r="D288" t="s">
        <v>551</v>
      </c>
      <c r="E288" t="s">
        <v>556</v>
      </c>
      <c r="F288" t="s">
        <v>561</v>
      </c>
      <c r="G288">
        <v>9</v>
      </c>
      <c r="H288">
        <v>2648</v>
      </c>
      <c r="I288">
        <v>23832</v>
      </c>
      <c r="J288">
        <f t="shared" si="4"/>
        <v>23832</v>
      </c>
      <c r="K288" t="str">
        <f>IF(Table1[[#This Row],[Quantity]]*Table1[[#This Row],[Unit_Price]]=Table1[[#This Row],[Sales]],"Match","Mismatch")</f>
        <v>Match</v>
      </c>
      <c r="L288">
        <f>Table1[[#This Row],[Profit]]/Table1[[#This Row],[Sales]]*100</f>
        <v>100</v>
      </c>
    </row>
    <row r="289" spans="1:12" x14ac:dyDescent="0.25">
      <c r="A289" t="s">
        <v>297</v>
      </c>
      <c r="B289" s="1">
        <v>45384</v>
      </c>
      <c r="C289" t="s">
        <v>478</v>
      </c>
      <c r="D289" t="s">
        <v>551</v>
      </c>
      <c r="E289" t="s">
        <v>555</v>
      </c>
      <c r="F289" t="s">
        <v>570</v>
      </c>
      <c r="G289">
        <v>6</v>
      </c>
      <c r="H289">
        <v>3136</v>
      </c>
      <c r="I289">
        <v>18816</v>
      </c>
      <c r="J289">
        <f t="shared" si="4"/>
        <v>18816</v>
      </c>
      <c r="K289" t="str">
        <f>IF(Table1[[#This Row],[Quantity]]*Table1[[#This Row],[Unit_Price]]=Table1[[#This Row],[Sales]],"Match","Mismatch")</f>
        <v>Match</v>
      </c>
      <c r="L289">
        <f>Table1[[#This Row],[Profit]]/Table1[[#This Row],[Sales]]*100</f>
        <v>100</v>
      </c>
    </row>
    <row r="290" spans="1:12" x14ac:dyDescent="0.25">
      <c r="A290" t="s">
        <v>298</v>
      </c>
      <c r="B290" s="1">
        <v>45572</v>
      </c>
      <c r="C290" t="s">
        <v>462</v>
      </c>
      <c r="D290" t="s">
        <v>551</v>
      </c>
      <c r="E290" t="s">
        <v>554</v>
      </c>
      <c r="F290" t="s">
        <v>558</v>
      </c>
      <c r="G290">
        <v>8</v>
      </c>
      <c r="H290">
        <v>3317</v>
      </c>
      <c r="I290">
        <v>26536</v>
      </c>
      <c r="J290">
        <f t="shared" si="4"/>
        <v>26536</v>
      </c>
      <c r="K290" t="str">
        <f>IF(Table1[[#This Row],[Quantity]]*Table1[[#This Row],[Unit_Price]]=Table1[[#This Row],[Sales]],"Match","Mismatch")</f>
        <v>Match</v>
      </c>
      <c r="L290">
        <f>Table1[[#This Row],[Profit]]/Table1[[#This Row],[Sales]]*100</f>
        <v>100</v>
      </c>
    </row>
    <row r="291" spans="1:12" x14ac:dyDescent="0.25">
      <c r="A291" t="s">
        <v>299</v>
      </c>
      <c r="B291" s="1">
        <v>45627</v>
      </c>
      <c r="C291" t="s">
        <v>510</v>
      </c>
      <c r="D291" t="s">
        <v>550</v>
      </c>
      <c r="E291" t="s">
        <v>556</v>
      </c>
      <c r="F291" t="s">
        <v>568</v>
      </c>
      <c r="G291">
        <v>2</v>
      </c>
      <c r="H291">
        <v>791</v>
      </c>
      <c r="I291">
        <v>1582</v>
      </c>
      <c r="J291">
        <f t="shared" si="4"/>
        <v>1582</v>
      </c>
      <c r="K291" t="str">
        <f>IF(Table1[[#This Row],[Quantity]]*Table1[[#This Row],[Unit_Price]]=Table1[[#This Row],[Sales]],"Match","Mismatch")</f>
        <v>Match</v>
      </c>
      <c r="L291">
        <f>Table1[[#This Row],[Profit]]/Table1[[#This Row],[Sales]]*100</f>
        <v>100</v>
      </c>
    </row>
    <row r="292" spans="1:12" x14ac:dyDescent="0.25">
      <c r="A292" t="s">
        <v>300</v>
      </c>
      <c r="B292" s="1">
        <v>45304</v>
      </c>
      <c r="C292" t="s">
        <v>515</v>
      </c>
      <c r="D292" t="s">
        <v>551</v>
      </c>
      <c r="E292" t="s">
        <v>556</v>
      </c>
      <c r="F292" t="s">
        <v>563</v>
      </c>
      <c r="G292">
        <v>9</v>
      </c>
      <c r="H292">
        <v>2920</v>
      </c>
      <c r="I292">
        <v>26280</v>
      </c>
      <c r="J292">
        <f t="shared" si="4"/>
        <v>26280</v>
      </c>
      <c r="K292" t="str">
        <f>IF(Table1[[#This Row],[Quantity]]*Table1[[#This Row],[Unit_Price]]=Table1[[#This Row],[Sales]],"Match","Mismatch")</f>
        <v>Match</v>
      </c>
      <c r="L292">
        <f>Table1[[#This Row],[Profit]]/Table1[[#This Row],[Sales]]*100</f>
        <v>100</v>
      </c>
    </row>
    <row r="293" spans="1:12" x14ac:dyDescent="0.25">
      <c r="A293" t="s">
        <v>301</v>
      </c>
      <c r="B293" s="1">
        <v>45443</v>
      </c>
      <c r="C293" t="s">
        <v>434</v>
      </c>
      <c r="D293" t="s">
        <v>549</v>
      </c>
      <c r="E293" t="s">
        <v>556</v>
      </c>
      <c r="F293" t="s">
        <v>565</v>
      </c>
      <c r="G293">
        <v>5</v>
      </c>
      <c r="H293">
        <v>913</v>
      </c>
      <c r="I293">
        <v>4565</v>
      </c>
      <c r="J293">
        <f t="shared" si="4"/>
        <v>4565</v>
      </c>
      <c r="K293" t="str">
        <f>IF(Table1[[#This Row],[Quantity]]*Table1[[#This Row],[Unit_Price]]=Table1[[#This Row],[Sales]],"Match","Mismatch")</f>
        <v>Match</v>
      </c>
      <c r="L293">
        <f>Table1[[#This Row],[Profit]]/Table1[[#This Row],[Sales]]*100</f>
        <v>100</v>
      </c>
    </row>
    <row r="294" spans="1:12" x14ac:dyDescent="0.25">
      <c r="A294" t="s">
        <v>302</v>
      </c>
      <c r="B294" s="1">
        <v>45644</v>
      </c>
      <c r="C294" t="s">
        <v>537</v>
      </c>
      <c r="D294" t="s">
        <v>551</v>
      </c>
      <c r="E294" t="s">
        <v>555</v>
      </c>
      <c r="F294" t="s">
        <v>567</v>
      </c>
      <c r="G294">
        <v>7</v>
      </c>
      <c r="H294">
        <v>1135</v>
      </c>
      <c r="I294">
        <v>7945</v>
      </c>
      <c r="J294">
        <f t="shared" si="4"/>
        <v>7945</v>
      </c>
      <c r="K294" t="str">
        <f>IF(Table1[[#This Row],[Quantity]]*Table1[[#This Row],[Unit_Price]]=Table1[[#This Row],[Sales]],"Match","Mismatch")</f>
        <v>Match</v>
      </c>
      <c r="L294">
        <f>Table1[[#This Row],[Profit]]/Table1[[#This Row],[Sales]]*100</f>
        <v>100</v>
      </c>
    </row>
    <row r="295" spans="1:12" x14ac:dyDescent="0.25">
      <c r="A295" t="s">
        <v>303</v>
      </c>
      <c r="B295" s="1">
        <v>45582</v>
      </c>
      <c r="C295" t="s">
        <v>435</v>
      </c>
      <c r="D295" t="s">
        <v>552</v>
      </c>
      <c r="E295" t="s">
        <v>553</v>
      </c>
      <c r="F295" t="s">
        <v>562</v>
      </c>
      <c r="G295">
        <v>1</v>
      </c>
      <c r="H295">
        <v>4537</v>
      </c>
      <c r="I295">
        <v>4537</v>
      </c>
      <c r="J295">
        <f t="shared" si="4"/>
        <v>4537</v>
      </c>
      <c r="K295" t="str">
        <f>IF(Table1[[#This Row],[Quantity]]*Table1[[#This Row],[Unit_Price]]=Table1[[#This Row],[Sales]],"Match","Mismatch")</f>
        <v>Match</v>
      </c>
      <c r="L295">
        <f>Table1[[#This Row],[Profit]]/Table1[[#This Row],[Sales]]*100</f>
        <v>100</v>
      </c>
    </row>
    <row r="296" spans="1:12" x14ac:dyDescent="0.25">
      <c r="A296" t="s">
        <v>304</v>
      </c>
      <c r="B296" s="1">
        <v>45611</v>
      </c>
      <c r="C296" t="s">
        <v>417</v>
      </c>
      <c r="D296" t="s">
        <v>552</v>
      </c>
      <c r="E296" t="s">
        <v>556</v>
      </c>
      <c r="F296" t="s">
        <v>569</v>
      </c>
      <c r="G296">
        <v>5</v>
      </c>
      <c r="H296">
        <v>201</v>
      </c>
      <c r="I296">
        <v>1005</v>
      </c>
      <c r="J296">
        <f t="shared" si="4"/>
        <v>1005</v>
      </c>
      <c r="K296" t="str">
        <f>IF(Table1[[#This Row],[Quantity]]*Table1[[#This Row],[Unit_Price]]=Table1[[#This Row],[Sales]],"Match","Mismatch")</f>
        <v>Match</v>
      </c>
      <c r="L296">
        <f>Table1[[#This Row],[Profit]]/Table1[[#This Row],[Sales]]*100</f>
        <v>100</v>
      </c>
    </row>
    <row r="297" spans="1:12" x14ac:dyDescent="0.25">
      <c r="A297" t="s">
        <v>305</v>
      </c>
      <c r="B297" s="1">
        <v>45468</v>
      </c>
      <c r="C297" t="s">
        <v>525</v>
      </c>
      <c r="D297" t="s">
        <v>550</v>
      </c>
      <c r="E297" t="s">
        <v>553</v>
      </c>
      <c r="F297" t="s">
        <v>576</v>
      </c>
      <c r="G297">
        <v>2</v>
      </c>
      <c r="H297">
        <v>3048</v>
      </c>
      <c r="I297">
        <v>6096</v>
      </c>
      <c r="J297">
        <f t="shared" si="4"/>
        <v>6096</v>
      </c>
      <c r="K297" t="str">
        <f>IF(Table1[[#This Row],[Quantity]]*Table1[[#This Row],[Unit_Price]]=Table1[[#This Row],[Sales]],"Match","Mismatch")</f>
        <v>Match</v>
      </c>
      <c r="L297">
        <f>Table1[[#This Row],[Profit]]/Table1[[#This Row],[Sales]]*100</f>
        <v>100</v>
      </c>
    </row>
    <row r="298" spans="1:12" x14ac:dyDescent="0.25">
      <c r="A298" t="s">
        <v>306</v>
      </c>
      <c r="B298" s="1">
        <v>45308</v>
      </c>
      <c r="C298" t="s">
        <v>474</v>
      </c>
      <c r="D298" t="s">
        <v>552</v>
      </c>
      <c r="E298" t="s">
        <v>554</v>
      </c>
      <c r="F298" t="s">
        <v>574</v>
      </c>
      <c r="G298">
        <v>6</v>
      </c>
      <c r="H298">
        <v>4244</v>
      </c>
      <c r="I298">
        <v>25464</v>
      </c>
      <c r="J298">
        <f t="shared" si="4"/>
        <v>25464</v>
      </c>
      <c r="K298" t="str">
        <f>IF(Table1[[#This Row],[Quantity]]*Table1[[#This Row],[Unit_Price]]=Table1[[#This Row],[Sales]],"Match","Mismatch")</f>
        <v>Match</v>
      </c>
      <c r="L298">
        <f>Table1[[#This Row],[Profit]]/Table1[[#This Row],[Sales]]*100</f>
        <v>100</v>
      </c>
    </row>
    <row r="299" spans="1:12" x14ac:dyDescent="0.25">
      <c r="A299" t="s">
        <v>307</v>
      </c>
      <c r="B299" s="1">
        <v>45422</v>
      </c>
      <c r="C299" t="s">
        <v>417</v>
      </c>
      <c r="D299" t="s">
        <v>549</v>
      </c>
      <c r="E299" t="s">
        <v>556</v>
      </c>
      <c r="F299" t="s">
        <v>563</v>
      </c>
      <c r="G299">
        <v>1</v>
      </c>
      <c r="H299">
        <v>2149</v>
      </c>
      <c r="I299">
        <v>2149</v>
      </c>
      <c r="J299">
        <f t="shared" si="4"/>
        <v>2149</v>
      </c>
      <c r="K299" t="str">
        <f>IF(Table1[[#This Row],[Quantity]]*Table1[[#This Row],[Unit_Price]]=Table1[[#This Row],[Sales]],"Match","Mismatch")</f>
        <v>Match</v>
      </c>
      <c r="L299">
        <f>Table1[[#This Row],[Profit]]/Table1[[#This Row],[Sales]]*100</f>
        <v>100</v>
      </c>
    </row>
    <row r="300" spans="1:12" x14ac:dyDescent="0.25">
      <c r="A300" t="s">
        <v>308</v>
      </c>
      <c r="B300" s="1">
        <v>45548</v>
      </c>
      <c r="C300" t="s">
        <v>443</v>
      </c>
      <c r="D300" t="s">
        <v>551</v>
      </c>
      <c r="E300" t="s">
        <v>556</v>
      </c>
      <c r="F300" t="s">
        <v>568</v>
      </c>
      <c r="G300">
        <v>3</v>
      </c>
      <c r="H300">
        <v>1117</v>
      </c>
      <c r="I300">
        <v>3351</v>
      </c>
      <c r="J300">
        <f t="shared" si="4"/>
        <v>3351</v>
      </c>
      <c r="K300" t="str">
        <f>IF(Table1[[#This Row],[Quantity]]*Table1[[#This Row],[Unit_Price]]=Table1[[#This Row],[Sales]],"Match","Mismatch")</f>
        <v>Match</v>
      </c>
      <c r="L300">
        <f>Table1[[#This Row],[Profit]]/Table1[[#This Row],[Sales]]*100</f>
        <v>100</v>
      </c>
    </row>
    <row r="301" spans="1:12" x14ac:dyDescent="0.25">
      <c r="A301" t="s">
        <v>309</v>
      </c>
      <c r="B301" s="1">
        <v>45656</v>
      </c>
      <c r="C301" t="s">
        <v>488</v>
      </c>
      <c r="D301" t="s">
        <v>550</v>
      </c>
      <c r="E301" t="s">
        <v>554</v>
      </c>
      <c r="F301" t="s">
        <v>572</v>
      </c>
      <c r="G301">
        <v>5</v>
      </c>
      <c r="H301">
        <v>3374</v>
      </c>
      <c r="I301">
        <v>16870</v>
      </c>
      <c r="J301">
        <f t="shared" si="4"/>
        <v>16870</v>
      </c>
      <c r="K301" t="str">
        <f>IF(Table1[[#This Row],[Quantity]]*Table1[[#This Row],[Unit_Price]]=Table1[[#This Row],[Sales]],"Match","Mismatch")</f>
        <v>Match</v>
      </c>
      <c r="L301">
        <f>Table1[[#This Row],[Profit]]/Table1[[#This Row],[Sales]]*100</f>
        <v>100</v>
      </c>
    </row>
    <row r="302" spans="1:12" x14ac:dyDescent="0.25">
      <c r="A302" t="s">
        <v>310</v>
      </c>
      <c r="B302" s="1">
        <v>45395</v>
      </c>
      <c r="C302" t="s">
        <v>441</v>
      </c>
      <c r="D302" t="s">
        <v>551</v>
      </c>
      <c r="E302" t="s">
        <v>556</v>
      </c>
      <c r="F302" t="s">
        <v>568</v>
      </c>
      <c r="G302">
        <v>4</v>
      </c>
      <c r="H302">
        <v>2441</v>
      </c>
      <c r="I302">
        <v>9764</v>
      </c>
      <c r="J302">
        <f t="shared" si="4"/>
        <v>9764</v>
      </c>
      <c r="K302" t="str">
        <f>IF(Table1[[#This Row],[Quantity]]*Table1[[#This Row],[Unit_Price]]=Table1[[#This Row],[Sales]],"Match","Mismatch")</f>
        <v>Match</v>
      </c>
      <c r="L302">
        <f>Table1[[#This Row],[Profit]]/Table1[[#This Row],[Sales]]*100</f>
        <v>100</v>
      </c>
    </row>
    <row r="303" spans="1:12" x14ac:dyDescent="0.25">
      <c r="A303" t="s">
        <v>311</v>
      </c>
      <c r="B303" s="1">
        <v>45579</v>
      </c>
      <c r="C303" t="s">
        <v>475</v>
      </c>
      <c r="D303" t="s">
        <v>551</v>
      </c>
      <c r="E303" t="s">
        <v>553</v>
      </c>
      <c r="F303" t="s">
        <v>562</v>
      </c>
      <c r="G303">
        <v>3</v>
      </c>
      <c r="H303">
        <v>289</v>
      </c>
      <c r="I303">
        <v>867</v>
      </c>
      <c r="J303">
        <f t="shared" si="4"/>
        <v>867</v>
      </c>
      <c r="K303" t="str">
        <f>IF(Table1[[#This Row],[Quantity]]*Table1[[#This Row],[Unit_Price]]=Table1[[#This Row],[Sales]],"Match","Mismatch")</f>
        <v>Match</v>
      </c>
      <c r="L303">
        <f>Table1[[#This Row],[Profit]]/Table1[[#This Row],[Sales]]*100</f>
        <v>100</v>
      </c>
    </row>
    <row r="304" spans="1:12" x14ac:dyDescent="0.25">
      <c r="A304" t="s">
        <v>312</v>
      </c>
      <c r="B304" s="1">
        <v>45383</v>
      </c>
      <c r="C304" t="s">
        <v>469</v>
      </c>
      <c r="D304" t="s">
        <v>549</v>
      </c>
      <c r="E304" t="s">
        <v>555</v>
      </c>
      <c r="F304" t="s">
        <v>566</v>
      </c>
      <c r="G304">
        <v>5</v>
      </c>
      <c r="H304">
        <v>1909</v>
      </c>
      <c r="I304">
        <v>9545</v>
      </c>
      <c r="J304">
        <f t="shared" si="4"/>
        <v>9545</v>
      </c>
      <c r="K304" t="str">
        <f>IF(Table1[[#This Row],[Quantity]]*Table1[[#This Row],[Unit_Price]]=Table1[[#This Row],[Sales]],"Match","Mismatch")</f>
        <v>Match</v>
      </c>
      <c r="L304">
        <f>Table1[[#This Row],[Profit]]/Table1[[#This Row],[Sales]]*100</f>
        <v>100</v>
      </c>
    </row>
    <row r="305" spans="1:12" x14ac:dyDescent="0.25">
      <c r="A305" t="s">
        <v>313</v>
      </c>
      <c r="B305" s="1">
        <v>45463</v>
      </c>
      <c r="C305" t="s">
        <v>440</v>
      </c>
      <c r="D305" t="s">
        <v>552</v>
      </c>
      <c r="E305" t="s">
        <v>553</v>
      </c>
      <c r="F305" t="s">
        <v>562</v>
      </c>
      <c r="G305">
        <v>8</v>
      </c>
      <c r="H305">
        <v>2369</v>
      </c>
      <c r="I305">
        <v>18952</v>
      </c>
      <c r="J305">
        <f t="shared" si="4"/>
        <v>18952</v>
      </c>
      <c r="K305" t="str">
        <f>IF(Table1[[#This Row],[Quantity]]*Table1[[#This Row],[Unit_Price]]=Table1[[#This Row],[Sales]],"Match","Mismatch")</f>
        <v>Match</v>
      </c>
      <c r="L305">
        <f>Table1[[#This Row],[Profit]]/Table1[[#This Row],[Sales]]*100</f>
        <v>100</v>
      </c>
    </row>
    <row r="306" spans="1:12" x14ac:dyDescent="0.25">
      <c r="A306" t="s">
        <v>314</v>
      </c>
      <c r="B306" s="1">
        <v>45482</v>
      </c>
      <c r="C306" t="s">
        <v>434</v>
      </c>
      <c r="D306" t="s">
        <v>552</v>
      </c>
      <c r="E306" t="s">
        <v>555</v>
      </c>
      <c r="F306" t="s">
        <v>566</v>
      </c>
      <c r="G306">
        <v>4</v>
      </c>
      <c r="H306">
        <v>4438</v>
      </c>
      <c r="I306">
        <v>17752</v>
      </c>
      <c r="J306">
        <f t="shared" si="4"/>
        <v>17752</v>
      </c>
      <c r="K306" t="str">
        <f>IF(Table1[[#This Row],[Quantity]]*Table1[[#This Row],[Unit_Price]]=Table1[[#This Row],[Sales]],"Match","Mismatch")</f>
        <v>Match</v>
      </c>
      <c r="L306">
        <f>Table1[[#This Row],[Profit]]/Table1[[#This Row],[Sales]]*100</f>
        <v>100</v>
      </c>
    </row>
    <row r="307" spans="1:12" x14ac:dyDescent="0.25">
      <c r="A307" t="s">
        <v>315</v>
      </c>
      <c r="B307" s="1">
        <v>45344</v>
      </c>
      <c r="C307" t="s">
        <v>427</v>
      </c>
      <c r="D307" t="s">
        <v>551</v>
      </c>
      <c r="E307" t="s">
        <v>555</v>
      </c>
      <c r="F307" t="s">
        <v>559</v>
      </c>
      <c r="G307">
        <v>1</v>
      </c>
      <c r="H307">
        <v>3241</v>
      </c>
      <c r="I307">
        <v>3241</v>
      </c>
      <c r="J307">
        <f t="shared" si="4"/>
        <v>3241</v>
      </c>
      <c r="K307" t="str">
        <f>IF(Table1[[#This Row],[Quantity]]*Table1[[#This Row],[Unit_Price]]=Table1[[#This Row],[Sales]],"Match","Mismatch")</f>
        <v>Match</v>
      </c>
      <c r="L307">
        <f>Table1[[#This Row],[Profit]]/Table1[[#This Row],[Sales]]*100</f>
        <v>100</v>
      </c>
    </row>
    <row r="308" spans="1:12" x14ac:dyDescent="0.25">
      <c r="A308" t="s">
        <v>316</v>
      </c>
      <c r="B308" s="1">
        <v>45325</v>
      </c>
      <c r="C308" t="s">
        <v>458</v>
      </c>
      <c r="D308" t="s">
        <v>550</v>
      </c>
      <c r="E308" t="s">
        <v>553</v>
      </c>
      <c r="F308" t="s">
        <v>560</v>
      </c>
      <c r="G308">
        <v>7</v>
      </c>
      <c r="H308">
        <v>305</v>
      </c>
      <c r="I308">
        <v>2135</v>
      </c>
      <c r="J308">
        <f t="shared" si="4"/>
        <v>2135</v>
      </c>
      <c r="K308" t="str">
        <f>IF(Table1[[#This Row],[Quantity]]*Table1[[#This Row],[Unit_Price]]=Table1[[#This Row],[Sales]],"Match","Mismatch")</f>
        <v>Match</v>
      </c>
      <c r="L308">
        <f>Table1[[#This Row],[Profit]]/Table1[[#This Row],[Sales]]*100</f>
        <v>100</v>
      </c>
    </row>
    <row r="309" spans="1:12" x14ac:dyDescent="0.25">
      <c r="A309" t="s">
        <v>317</v>
      </c>
      <c r="B309" s="1">
        <v>45315</v>
      </c>
      <c r="C309" t="s">
        <v>538</v>
      </c>
      <c r="D309" t="s">
        <v>552</v>
      </c>
      <c r="E309" t="s">
        <v>553</v>
      </c>
      <c r="F309" t="s">
        <v>571</v>
      </c>
      <c r="G309">
        <v>8</v>
      </c>
      <c r="H309">
        <v>1086</v>
      </c>
      <c r="I309">
        <v>8688</v>
      </c>
      <c r="J309">
        <f t="shared" si="4"/>
        <v>8688</v>
      </c>
      <c r="K309" t="str">
        <f>IF(Table1[[#This Row],[Quantity]]*Table1[[#This Row],[Unit_Price]]=Table1[[#This Row],[Sales]],"Match","Mismatch")</f>
        <v>Match</v>
      </c>
      <c r="L309">
        <f>Table1[[#This Row],[Profit]]/Table1[[#This Row],[Sales]]*100</f>
        <v>100</v>
      </c>
    </row>
    <row r="310" spans="1:12" x14ac:dyDescent="0.25">
      <c r="A310" t="s">
        <v>318</v>
      </c>
      <c r="B310" s="1">
        <v>45292</v>
      </c>
      <c r="C310" t="s">
        <v>536</v>
      </c>
      <c r="D310" t="s">
        <v>550</v>
      </c>
      <c r="E310" t="s">
        <v>553</v>
      </c>
      <c r="F310" t="s">
        <v>571</v>
      </c>
      <c r="G310">
        <v>3</v>
      </c>
      <c r="H310">
        <v>627</v>
      </c>
      <c r="I310">
        <v>1881</v>
      </c>
      <c r="J310">
        <f t="shared" si="4"/>
        <v>1881</v>
      </c>
      <c r="K310" t="str">
        <f>IF(Table1[[#This Row],[Quantity]]*Table1[[#This Row],[Unit_Price]]=Table1[[#This Row],[Sales]],"Match","Mismatch")</f>
        <v>Match</v>
      </c>
      <c r="L310">
        <f>Table1[[#This Row],[Profit]]/Table1[[#This Row],[Sales]]*100</f>
        <v>100</v>
      </c>
    </row>
    <row r="311" spans="1:12" x14ac:dyDescent="0.25">
      <c r="A311" t="s">
        <v>319</v>
      </c>
      <c r="B311" s="1">
        <v>45381</v>
      </c>
      <c r="C311" t="s">
        <v>539</v>
      </c>
      <c r="D311" t="s">
        <v>552</v>
      </c>
      <c r="E311" t="s">
        <v>553</v>
      </c>
      <c r="F311" t="s">
        <v>562</v>
      </c>
      <c r="G311">
        <v>6</v>
      </c>
      <c r="H311">
        <v>2095</v>
      </c>
      <c r="I311">
        <v>12570</v>
      </c>
      <c r="J311">
        <f t="shared" si="4"/>
        <v>12570</v>
      </c>
      <c r="K311" t="str">
        <f>IF(Table1[[#This Row],[Quantity]]*Table1[[#This Row],[Unit_Price]]=Table1[[#This Row],[Sales]],"Match","Mismatch")</f>
        <v>Match</v>
      </c>
      <c r="L311">
        <f>Table1[[#This Row],[Profit]]/Table1[[#This Row],[Sales]]*100</f>
        <v>100</v>
      </c>
    </row>
    <row r="312" spans="1:12" x14ac:dyDescent="0.25">
      <c r="A312" t="s">
        <v>320</v>
      </c>
      <c r="B312" s="1">
        <v>45420</v>
      </c>
      <c r="C312" t="s">
        <v>518</v>
      </c>
      <c r="D312" t="s">
        <v>550</v>
      </c>
      <c r="E312" t="s">
        <v>554</v>
      </c>
      <c r="F312" t="s">
        <v>573</v>
      </c>
      <c r="G312">
        <v>2</v>
      </c>
      <c r="H312">
        <v>516</v>
      </c>
      <c r="I312">
        <v>1032</v>
      </c>
      <c r="J312">
        <f t="shared" si="4"/>
        <v>1032</v>
      </c>
      <c r="K312" t="str">
        <f>IF(Table1[[#This Row],[Quantity]]*Table1[[#This Row],[Unit_Price]]=Table1[[#This Row],[Sales]],"Match","Mismatch")</f>
        <v>Match</v>
      </c>
      <c r="L312">
        <f>Table1[[#This Row],[Profit]]/Table1[[#This Row],[Sales]]*100</f>
        <v>100</v>
      </c>
    </row>
    <row r="313" spans="1:12" x14ac:dyDescent="0.25">
      <c r="A313" t="s">
        <v>321</v>
      </c>
      <c r="B313" s="1">
        <v>45365</v>
      </c>
      <c r="C313" t="s">
        <v>530</v>
      </c>
      <c r="D313" t="s">
        <v>549</v>
      </c>
      <c r="E313" t="s">
        <v>556</v>
      </c>
      <c r="F313" t="s">
        <v>565</v>
      </c>
      <c r="G313">
        <v>7</v>
      </c>
      <c r="H313">
        <v>834</v>
      </c>
      <c r="I313">
        <v>5838</v>
      </c>
      <c r="J313">
        <f t="shared" si="4"/>
        <v>5838</v>
      </c>
      <c r="K313" t="str">
        <f>IF(Table1[[#This Row],[Quantity]]*Table1[[#This Row],[Unit_Price]]=Table1[[#This Row],[Sales]],"Match","Mismatch")</f>
        <v>Match</v>
      </c>
      <c r="L313">
        <f>Table1[[#This Row],[Profit]]/Table1[[#This Row],[Sales]]*100</f>
        <v>100</v>
      </c>
    </row>
    <row r="314" spans="1:12" x14ac:dyDescent="0.25">
      <c r="A314" t="s">
        <v>322</v>
      </c>
      <c r="B314" s="1">
        <v>45566</v>
      </c>
      <c r="C314" t="s">
        <v>434</v>
      </c>
      <c r="D314" t="s">
        <v>550</v>
      </c>
      <c r="E314" t="s">
        <v>555</v>
      </c>
      <c r="F314" t="s">
        <v>570</v>
      </c>
      <c r="G314">
        <v>8</v>
      </c>
      <c r="H314">
        <v>2125</v>
      </c>
      <c r="I314">
        <v>17000</v>
      </c>
      <c r="J314">
        <f t="shared" si="4"/>
        <v>17000</v>
      </c>
      <c r="K314" t="str">
        <f>IF(Table1[[#This Row],[Quantity]]*Table1[[#This Row],[Unit_Price]]=Table1[[#This Row],[Sales]],"Match","Mismatch")</f>
        <v>Match</v>
      </c>
      <c r="L314">
        <f>Table1[[#This Row],[Profit]]/Table1[[#This Row],[Sales]]*100</f>
        <v>100</v>
      </c>
    </row>
    <row r="315" spans="1:12" x14ac:dyDescent="0.25">
      <c r="A315" t="s">
        <v>323</v>
      </c>
      <c r="B315" s="1">
        <v>45574</v>
      </c>
      <c r="C315" t="s">
        <v>534</v>
      </c>
      <c r="D315" t="s">
        <v>549</v>
      </c>
      <c r="E315" t="s">
        <v>553</v>
      </c>
      <c r="F315" t="s">
        <v>576</v>
      </c>
      <c r="G315">
        <v>6</v>
      </c>
      <c r="H315">
        <v>2256</v>
      </c>
      <c r="I315">
        <v>13536</v>
      </c>
      <c r="J315">
        <f t="shared" si="4"/>
        <v>13536</v>
      </c>
      <c r="K315" t="str">
        <f>IF(Table1[[#This Row],[Quantity]]*Table1[[#This Row],[Unit_Price]]=Table1[[#This Row],[Sales]],"Match","Mismatch")</f>
        <v>Match</v>
      </c>
      <c r="L315">
        <f>Table1[[#This Row],[Profit]]/Table1[[#This Row],[Sales]]*100</f>
        <v>100</v>
      </c>
    </row>
    <row r="316" spans="1:12" x14ac:dyDescent="0.25">
      <c r="A316" t="s">
        <v>324</v>
      </c>
      <c r="B316" s="1">
        <v>45531</v>
      </c>
      <c r="C316" t="s">
        <v>529</v>
      </c>
      <c r="D316" t="s">
        <v>549</v>
      </c>
      <c r="E316" t="s">
        <v>553</v>
      </c>
      <c r="F316" t="s">
        <v>571</v>
      </c>
      <c r="G316">
        <v>6</v>
      </c>
      <c r="H316">
        <v>3344</v>
      </c>
      <c r="I316">
        <v>20064</v>
      </c>
      <c r="J316">
        <f t="shared" si="4"/>
        <v>20064</v>
      </c>
      <c r="K316" t="str">
        <f>IF(Table1[[#This Row],[Quantity]]*Table1[[#This Row],[Unit_Price]]=Table1[[#This Row],[Sales]],"Match","Mismatch")</f>
        <v>Match</v>
      </c>
      <c r="L316">
        <f>Table1[[#This Row],[Profit]]/Table1[[#This Row],[Sales]]*100</f>
        <v>100</v>
      </c>
    </row>
    <row r="317" spans="1:12" x14ac:dyDescent="0.25">
      <c r="A317" t="s">
        <v>325</v>
      </c>
      <c r="B317" s="1">
        <v>45638</v>
      </c>
      <c r="C317" t="s">
        <v>490</v>
      </c>
      <c r="D317" t="s">
        <v>550</v>
      </c>
      <c r="E317" t="s">
        <v>553</v>
      </c>
      <c r="F317" t="s">
        <v>557</v>
      </c>
      <c r="G317">
        <v>5</v>
      </c>
      <c r="H317">
        <v>2470</v>
      </c>
      <c r="I317">
        <v>12350</v>
      </c>
      <c r="J317">
        <f t="shared" si="4"/>
        <v>12350</v>
      </c>
      <c r="K317" t="str">
        <f>IF(Table1[[#This Row],[Quantity]]*Table1[[#This Row],[Unit_Price]]=Table1[[#This Row],[Sales]],"Match","Mismatch")</f>
        <v>Match</v>
      </c>
      <c r="L317">
        <f>Table1[[#This Row],[Profit]]/Table1[[#This Row],[Sales]]*100</f>
        <v>100</v>
      </c>
    </row>
    <row r="318" spans="1:12" x14ac:dyDescent="0.25">
      <c r="A318" t="s">
        <v>326</v>
      </c>
      <c r="B318" s="1">
        <v>45417</v>
      </c>
      <c r="C318" t="s">
        <v>416</v>
      </c>
      <c r="D318" t="s">
        <v>549</v>
      </c>
      <c r="E318" t="s">
        <v>554</v>
      </c>
      <c r="F318" t="s">
        <v>558</v>
      </c>
      <c r="G318">
        <v>8</v>
      </c>
      <c r="H318">
        <v>1639</v>
      </c>
      <c r="I318">
        <v>13112</v>
      </c>
      <c r="J318">
        <f t="shared" si="4"/>
        <v>13112</v>
      </c>
      <c r="K318" t="str">
        <f>IF(Table1[[#This Row],[Quantity]]*Table1[[#This Row],[Unit_Price]]=Table1[[#This Row],[Sales]],"Match","Mismatch")</f>
        <v>Match</v>
      </c>
      <c r="L318">
        <f>Table1[[#This Row],[Profit]]/Table1[[#This Row],[Sales]]*100</f>
        <v>100</v>
      </c>
    </row>
    <row r="319" spans="1:12" x14ac:dyDescent="0.25">
      <c r="A319" t="s">
        <v>327</v>
      </c>
      <c r="B319" s="1">
        <v>45388</v>
      </c>
      <c r="C319" t="s">
        <v>509</v>
      </c>
      <c r="D319" t="s">
        <v>551</v>
      </c>
      <c r="E319" t="s">
        <v>553</v>
      </c>
      <c r="F319" t="s">
        <v>571</v>
      </c>
      <c r="G319">
        <v>1</v>
      </c>
      <c r="H319">
        <v>752</v>
      </c>
      <c r="I319">
        <v>752</v>
      </c>
      <c r="J319">
        <f t="shared" si="4"/>
        <v>752</v>
      </c>
      <c r="K319" t="str">
        <f>IF(Table1[[#This Row],[Quantity]]*Table1[[#This Row],[Unit_Price]]=Table1[[#This Row],[Sales]],"Match","Mismatch")</f>
        <v>Match</v>
      </c>
      <c r="L319">
        <f>Table1[[#This Row],[Profit]]/Table1[[#This Row],[Sales]]*100</f>
        <v>100</v>
      </c>
    </row>
    <row r="320" spans="1:12" x14ac:dyDescent="0.25">
      <c r="A320" t="s">
        <v>328</v>
      </c>
      <c r="B320" s="1">
        <v>45329</v>
      </c>
      <c r="C320" t="s">
        <v>462</v>
      </c>
      <c r="D320" t="s">
        <v>549</v>
      </c>
      <c r="E320" t="s">
        <v>553</v>
      </c>
      <c r="F320" t="s">
        <v>576</v>
      </c>
      <c r="G320">
        <v>4</v>
      </c>
      <c r="H320">
        <v>915</v>
      </c>
      <c r="I320">
        <v>3660</v>
      </c>
      <c r="J320">
        <f t="shared" si="4"/>
        <v>3660</v>
      </c>
      <c r="K320" t="str">
        <f>IF(Table1[[#This Row],[Quantity]]*Table1[[#This Row],[Unit_Price]]=Table1[[#This Row],[Sales]],"Match","Mismatch")</f>
        <v>Match</v>
      </c>
      <c r="L320">
        <f>Table1[[#This Row],[Profit]]/Table1[[#This Row],[Sales]]*100</f>
        <v>100</v>
      </c>
    </row>
    <row r="321" spans="1:12" x14ac:dyDescent="0.25">
      <c r="A321" t="s">
        <v>329</v>
      </c>
      <c r="B321" s="1">
        <v>45652</v>
      </c>
      <c r="C321" t="s">
        <v>472</v>
      </c>
      <c r="D321" t="s">
        <v>552</v>
      </c>
      <c r="E321" t="s">
        <v>553</v>
      </c>
      <c r="F321" t="s">
        <v>557</v>
      </c>
      <c r="G321">
        <v>4</v>
      </c>
      <c r="H321">
        <v>4111</v>
      </c>
      <c r="I321">
        <v>16444</v>
      </c>
      <c r="J321">
        <f t="shared" si="4"/>
        <v>16444</v>
      </c>
      <c r="K321" t="str">
        <f>IF(Table1[[#This Row],[Quantity]]*Table1[[#This Row],[Unit_Price]]=Table1[[#This Row],[Sales]],"Match","Mismatch")</f>
        <v>Match</v>
      </c>
      <c r="L321">
        <f>Table1[[#This Row],[Profit]]/Table1[[#This Row],[Sales]]*100</f>
        <v>100</v>
      </c>
    </row>
    <row r="322" spans="1:12" x14ac:dyDescent="0.25">
      <c r="A322" t="s">
        <v>330</v>
      </c>
      <c r="B322" s="1">
        <v>45293</v>
      </c>
      <c r="C322" t="s">
        <v>540</v>
      </c>
      <c r="D322" t="s">
        <v>550</v>
      </c>
      <c r="E322" t="s">
        <v>556</v>
      </c>
      <c r="F322" t="s">
        <v>565</v>
      </c>
      <c r="G322">
        <v>3</v>
      </c>
      <c r="H322">
        <v>1913</v>
      </c>
      <c r="I322">
        <v>5739</v>
      </c>
      <c r="J322">
        <f t="shared" si="4"/>
        <v>5739</v>
      </c>
      <c r="K322" t="str">
        <f>IF(Table1[[#This Row],[Quantity]]*Table1[[#This Row],[Unit_Price]]=Table1[[#This Row],[Sales]],"Match","Mismatch")</f>
        <v>Match</v>
      </c>
      <c r="L322">
        <f>Table1[[#This Row],[Profit]]/Table1[[#This Row],[Sales]]*100</f>
        <v>100</v>
      </c>
    </row>
    <row r="323" spans="1:12" x14ac:dyDescent="0.25">
      <c r="A323" t="s">
        <v>331</v>
      </c>
      <c r="B323" s="1">
        <v>45300</v>
      </c>
      <c r="C323" t="s">
        <v>418</v>
      </c>
      <c r="D323" t="s">
        <v>551</v>
      </c>
      <c r="E323" t="s">
        <v>554</v>
      </c>
      <c r="F323" t="s">
        <v>572</v>
      </c>
      <c r="G323">
        <v>3</v>
      </c>
      <c r="H323">
        <v>3589</v>
      </c>
      <c r="I323">
        <v>10767</v>
      </c>
      <c r="J323">
        <f t="shared" ref="J323:J386" si="5">IF(ISBLANK(I323),$J$2:$J$401,I323)</f>
        <v>10767</v>
      </c>
      <c r="K323" t="str">
        <f>IF(Table1[[#This Row],[Quantity]]*Table1[[#This Row],[Unit_Price]]=Table1[[#This Row],[Sales]],"Match","Mismatch")</f>
        <v>Match</v>
      </c>
      <c r="L323">
        <f>Table1[[#This Row],[Profit]]/Table1[[#This Row],[Sales]]*100</f>
        <v>100</v>
      </c>
    </row>
    <row r="324" spans="1:12" x14ac:dyDescent="0.25">
      <c r="A324" t="s">
        <v>332</v>
      </c>
      <c r="B324" s="1">
        <v>45343</v>
      </c>
      <c r="C324" t="s">
        <v>423</v>
      </c>
      <c r="D324" t="s">
        <v>550</v>
      </c>
      <c r="E324" t="s">
        <v>553</v>
      </c>
      <c r="F324" t="s">
        <v>576</v>
      </c>
      <c r="G324">
        <v>4</v>
      </c>
      <c r="H324">
        <v>1307</v>
      </c>
      <c r="I324">
        <v>5228</v>
      </c>
      <c r="J324">
        <f t="shared" si="5"/>
        <v>5228</v>
      </c>
      <c r="K324" t="str">
        <f>IF(Table1[[#This Row],[Quantity]]*Table1[[#This Row],[Unit_Price]]=Table1[[#This Row],[Sales]],"Match","Mismatch")</f>
        <v>Match</v>
      </c>
      <c r="L324">
        <f>Table1[[#This Row],[Profit]]/Table1[[#This Row],[Sales]]*100</f>
        <v>100</v>
      </c>
    </row>
    <row r="325" spans="1:12" x14ac:dyDescent="0.25">
      <c r="A325" t="s">
        <v>333</v>
      </c>
      <c r="B325" s="1">
        <v>45427</v>
      </c>
      <c r="C325" t="s">
        <v>489</v>
      </c>
      <c r="D325" t="s">
        <v>552</v>
      </c>
      <c r="E325" t="s">
        <v>555</v>
      </c>
      <c r="F325" t="s">
        <v>567</v>
      </c>
      <c r="G325">
        <v>1</v>
      </c>
      <c r="H325">
        <v>4406</v>
      </c>
      <c r="I325">
        <v>4406</v>
      </c>
      <c r="J325">
        <f t="shared" si="5"/>
        <v>4406</v>
      </c>
      <c r="K325" t="str">
        <f>IF(Table1[[#This Row],[Quantity]]*Table1[[#This Row],[Unit_Price]]=Table1[[#This Row],[Sales]],"Match","Mismatch")</f>
        <v>Match</v>
      </c>
      <c r="L325">
        <f>Table1[[#This Row],[Profit]]/Table1[[#This Row],[Sales]]*100</f>
        <v>100</v>
      </c>
    </row>
    <row r="326" spans="1:12" x14ac:dyDescent="0.25">
      <c r="A326" t="s">
        <v>334</v>
      </c>
      <c r="B326" s="1">
        <v>45596</v>
      </c>
      <c r="C326" t="s">
        <v>472</v>
      </c>
      <c r="D326" t="s">
        <v>552</v>
      </c>
      <c r="E326" t="s">
        <v>555</v>
      </c>
      <c r="F326" t="s">
        <v>559</v>
      </c>
      <c r="G326">
        <v>2</v>
      </c>
      <c r="H326">
        <v>450</v>
      </c>
      <c r="I326">
        <v>900</v>
      </c>
      <c r="J326">
        <f t="shared" si="5"/>
        <v>900</v>
      </c>
      <c r="K326" t="str">
        <f>IF(Table1[[#This Row],[Quantity]]*Table1[[#This Row],[Unit_Price]]=Table1[[#This Row],[Sales]],"Match","Mismatch")</f>
        <v>Match</v>
      </c>
      <c r="L326">
        <f>Table1[[#This Row],[Profit]]/Table1[[#This Row],[Sales]]*100</f>
        <v>100</v>
      </c>
    </row>
    <row r="327" spans="1:12" x14ac:dyDescent="0.25">
      <c r="A327" t="s">
        <v>335</v>
      </c>
      <c r="B327" s="1">
        <v>45378</v>
      </c>
      <c r="C327" t="s">
        <v>451</v>
      </c>
      <c r="D327" t="s">
        <v>552</v>
      </c>
      <c r="E327" t="s">
        <v>555</v>
      </c>
      <c r="F327" t="s">
        <v>575</v>
      </c>
      <c r="G327">
        <v>9</v>
      </c>
      <c r="H327">
        <v>2630</v>
      </c>
      <c r="I327">
        <v>23670</v>
      </c>
      <c r="J327">
        <f t="shared" si="5"/>
        <v>23670</v>
      </c>
      <c r="K327" t="str">
        <f>IF(Table1[[#This Row],[Quantity]]*Table1[[#This Row],[Unit_Price]]=Table1[[#This Row],[Sales]],"Match","Mismatch")</f>
        <v>Match</v>
      </c>
      <c r="L327">
        <f>Table1[[#This Row],[Profit]]/Table1[[#This Row],[Sales]]*100</f>
        <v>100</v>
      </c>
    </row>
    <row r="328" spans="1:12" x14ac:dyDescent="0.25">
      <c r="A328" t="s">
        <v>336</v>
      </c>
      <c r="B328" s="1">
        <v>45516</v>
      </c>
      <c r="C328" t="s">
        <v>455</v>
      </c>
      <c r="D328" t="s">
        <v>549</v>
      </c>
      <c r="E328" t="s">
        <v>554</v>
      </c>
      <c r="F328" t="s">
        <v>573</v>
      </c>
      <c r="G328">
        <v>2</v>
      </c>
      <c r="H328">
        <v>2254</v>
      </c>
      <c r="I328">
        <v>4508</v>
      </c>
      <c r="J328">
        <f t="shared" si="5"/>
        <v>4508</v>
      </c>
      <c r="K328" t="str">
        <f>IF(Table1[[#This Row],[Quantity]]*Table1[[#This Row],[Unit_Price]]=Table1[[#This Row],[Sales]],"Match","Mismatch")</f>
        <v>Match</v>
      </c>
      <c r="L328">
        <f>Table1[[#This Row],[Profit]]/Table1[[#This Row],[Sales]]*100</f>
        <v>100</v>
      </c>
    </row>
    <row r="329" spans="1:12" x14ac:dyDescent="0.25">
      <c r="A329" t="s">
        <v>337</v>
      </c>
      <c r="B329" s="1">
        <v>45477</v>
      </c>
      <c r="C329" t="s">
        <v>480</v>
      </c>
      <c r="D329" t="s">
        <v>549</v>
      </c>
      <c r="E329" t="s">
        <v>554</v>
      </c>
      <c r="F329" t="s">
        <v>558</v>
      </c>
      <c r="G329">
        <v>5</v>
      </c>
      <c r="H329">
        <v>658</v>
      </c>
      <c r="I329">
        <v>3290</v>
      </c>
      <c r="J329">
        <f t="shared" si="5"/>
        <v>3290</v>
      </c>
      <c r="K329" t="str">
        <f>IF(Table1[[#This Row],[Quantity]]*Table1[[#This Row],[Unit_Price]]=Table1[[#This Row],[Sales]],"Match","Mismatch")</f>
        <v>Match</v>
      </c>
      <c r="L329">
        <f>Table1[[#This Row],[Profit]]/Table1[[#This Row],[Sales]]*100</f>
        <v>100</v>
      </c>
    </row>
    <row r="330" spans="1:12" x14ac:dyDescent="0.25">
      <c r="A330" t="s">
        <v>338</v>
      </c>
      <c r="B330" s="1">
        <v>45587</v>
      </c>
      <c r="C330" t="s">
        <v>425</v>
      </c>
      <c r="D330" t="s">
        <v>550</v>
      </c>
      <c r="E330" t="s">
        <v>555</v>
      </c>
      <c r="F330" t="s">
        <v>570</v>
      </c>
      <c r="G330">
        <v>9</v>
      </c>
      <c r="H330">
        <v>407</v>
      </c>
      <c r="I330">
        <v>3663</v>
      </c>
      <c r="J330">
        <f t="shared" si="5"/>
        <v>3663</v>
      </c>
      <c r="K330" t="str">
        <f>IF(Table1[[#This Row],[Quantity]]*Table1[[#This Row],[Unit_Price]]=Table1[[#This Row],[Sales]],"Match","Mismatch")</f>
        <v>Match</v>
      </c>
      <c r="L330">
        <f>Table1[[#This Row],[Profit]]/Table1[[#This Row],[Sales]]*100</f>
        <v>100</v>
      </c>
    </row>
    <row r="331" spans="1:12" x14ac:dyDescent="0.25">
      <c r="A331" t="s">
        <v>339</v>
      </c>
      <c r="B331" s="1">
        <v>45395</v>
      </c>
      <c r="C331" t="s">
        <v>457</v>
      </c>
      <c r="D331" t="s">
        <v>550</v>
      </c>
      <c r="E331" t="s">
        <v>553</v>
      </c>
      <c r="F331" t="s">
        <v>571</v>
      </c>
      <c r="G331">
        <v>9</v>
      </c>
      <c r="H331">
        <v>1099</v>
      </c>
      <c r="I331">
        <v>9891</v>
      </c>
      <c r="J331">
        <f t="shared" si="5"/>
        <v>9891</v>
      </c>
      <c r="K331" t="str">
        <f>IF(Table1[[#This Row],[Quantity]]*Table1[[#This Row],[Unit_Price]]=Table1[[#This Row],[Sales]],"Match","Mismatch")</f>
        <v>Match</v>
      </c>
      <c r="L331">
        <f>Table1[[#This Row],[Profit]]/Table1[[#This Row],[Sales]]*100</f>
        <v>100</v>
      </c>
    </row>
    <row r="332" spans="1:12" x14ac:dyDescent="0.25">
      <c r="A332" t="s">
        <v>340</v>
      </c>
      <c r="B332" s="1">
        <v>45322</v>
      </c>
      <c r="C332" t="s">
        <v>508</v>
      </c>
      <c r="D332" t="s">
        <v>551</v>
      </c>
      <c r="E332" t="s">
        <v>554</v>
      </c>
      <c r="F332" t="s">
        <v>564</v>
      </c>
      <c r="G332">
        <v>8</v>
      </c>
      <c r="H332">
        <v>3661</v>
      </c>
      <c r="I332">
        <v>29288</v>
      </c>
      <c r="J332">
        <f t="shared" si="5"/>
        <v>29288</v>
      </c>
      <c r="K332" t="str">
        <f>IF(Table1[[#This Row],[Quantity]]*Table1[[#This Row],[Unit_Price]]=Table1[[#This Row],[Sales]],"Match","Mismatch")</f>
        <v>Match</v>
      </c>
      <c r="L332">
        <f>Table1[[#This Row],[Profit]]/Table1[[#This Row],[Sales]]*100</f>
        <v>100</v>
      </c>
    </row>
    <row r="333" spans="1:12" x14ac:dyDescent="0.25">
      <c r="A333" t="s">
        <v>341</v>
      </c>
      <c r="B333" s="1">
        <v>45577</v>
      </c>
      <c r="C333" t="s">
        <v>541</v>
      </c>
      <c r="D333" t="s">
        <v>551</v>
      </c>
      <c r="E333" t="s">
        <v>555</v>
      </c>
      <c r="F333" t="s">
        <v>575</v>
      </c>
      <c r="G333">
        <v>1</v>
      </c>
      <c r="H333">
        <v>3585</v>
      </c>
      <c r="I333">
        <v>3585</v>
      </c>
      <c r="J333">
        <f t="shared" si="5"/>
        <v>3585</v>
      </c>
      <c r="K333" t="str">
        <f>IF(Table1[[#This Row],[Quantity]]*Table1[[#This Row],[Unit_Price]]=Table1[[#This Row],[Sales]],"Match","Mismatch")</f>
        <v>Match</v>
      </c>
      <c r="L333">
        <f>Table1[[#This Row],[Profit]]/Table1[[#This Row],[Sales]]*100</f>
        <v>100</v>
      </c>
    </row>
    <row r="334" spans="1:12" x14ac:dyDescent="0.25">
      <c r="A334" t="s">
        <v>342</v>
      </c>
      <c r="B334" s="1">
        <v>45373</v>
      </c>
      <c r="C334" t="s">
        <v>436</v>
      </c>
      <c r="D334" t="s">
        <v>550</v>
      </c>
      <c r="E334" t="s">
        <v>555</v>
      </c>
      <c r="F334" t="s">
        <v>567</v>
      </c>
      <c r="G334">
        <v>1</v>
      </c>
      <c r="H334">
        <v>221</v>
      </c>
      <c r="I334">
        <v>221</v>
      </c>
      <c r="J334">
        <f t="shared" si="5"/>
        <v>221</v>
      </c>
      <c r="K334" t="str">
        <f>IF(Table1[[#This Row],[Quantity]]*Table1[[#This Row],[Unit_Price]]=Table1[[#This Row],[Sales]],"Match","Mismatch")</f>
        <v>Match</v>
      </c>
      <c r="L334">
        <f>Table1[[#This Row],[Profit]]/Table1[[#This Row],[Sales]]*100</f>
        <v>100</v>
      </c>
    </row>
    <row r="335" spans="1:12" x14ac:dyDescent="0.25">
      <c r="A335" t="s">
        <v>343</v>
      </c>
      <c r="B335" s="1">
        <v>45485</v>
      </c>
      <c r="C335" t="s">
        <v>538</v>
      </c>
      <c r="D335" t="s">
        <v>549</v>
      </c>
      <c r="E335" t="s">
        <v>553</v>
      </c>
      <c r="F335" t="s">
        <v>576</v>
      </c>
      <c r="G335">
        <v>9</v>
      </c>
      <c r="H335">
        <v>609</v>
      </c>
      <c r="I335">
        <v>5481</v>
      </c>
      <c r="J335">
        <f t="shared" si="5"/>
        <v>5481</v>
      </c>
      <c r="K335" t="str">
        <f>IF(Table1[[#This Row],[Quantity]]*Table1[[#This Row],[Unit_Price]]=Table1[[#This Row],[Sales]],"Match","Mismatch")</f>
        <v>Match</v>
      </c>
      <c r="L335">
        <f>Table1[[#This Row],[Profit]]/Table1[[#This Row],[Sales]]*100</f>
        <v>100</v>
      </c>
    </row>
    <row r="336" spans="1:12" x14ac:dyDescent="0.25">
      <c r="A336" t="s">
        <v>344</v>
      </c>
      <c r="B336" s="1">
        <v>45354</v>
      </c>
      <c r="C336" t="s">
        <v>507</v>
      </c>
      <c r="D336" t="s">
        <v>552</v>
      </c>
      <c r="E336" t="s">
        <v>556</v>
      </c>
      <c r="F336" t="s">
        <v>561</v>
      </c>
      <c r="G336">
        <v>8</v>
      </c>
      <c r="H336">
        <v>1094</v>
      </c>
      <c r="I336">
        <v>8752</v>
      </c>
      <c r="J336">
        <f t="shared" si="5"/>
        <v>8752</v>
      </c>
      <c r="K336" t="str">
        <f>IF(Table1[[#This Row],[Quantity]]*Table1[[#This Row],[Unit_Price]]=Table1[[#This Row],[Sales]],"Match","Mismatch")</f>
        <v>Match</v>
      </c>
      <c r="L336">
        <f>Table1[[#This Row],[Profit]]/Table1[[#This Row],[Sales]]*100</f>
        <v>100</v>
      </c>
    </row>
    <row r="337" spans="1:12" x14ac:dyDescent="0.25">
      <c r="A337" t="s">
        <v>345</v>
      </c>
      <c r="B337" s="1">
        <v>45417</v>
      </c>
      <c r="C337" t="s">
        <v>424</v>
      </c>
      <c r="D337" t="s">
        <v>550</v>
      </c>
      <c r="E337" t="s">
        <v>554</v>
      </c>
      <c r="F337" t="s">
        <v>574</v>
      </c>
      <c r="G337">
        <v>9</v>
      </c>
      <c r="H337">
        <v>714</v>
      </c>
      <c r="I337">
        <v>6426</v>
      </c>
      <c r="J337">
        <f t="shared" si="5"/>
        <v>6426</v>
      </c>
      <c r="K337" t="str">
        <f>IF(Table1[[#This Row],[Quantity]]*Table1[[#This Row],[Unit_Price]]=Table1[[#This Row],[Sales]],"Match","Mismatch")</f>
        <v>Match</v>
      </c>
      <c r="L337">
        <f>Table1[[#This Row],[Profit]]/Table1[[#This Row],[Sales]]*100</f>
        <v>100</v>
      </c>
    </row>
    <row r="338" spans="1:12" x14ac:dyDescent="0.25">
      <c r="A338" t="s">
        <v>346</v>
      </c>
      <c r="B338" s="1">
        <v>45573</v>
      </c>
      <c r="C338" t="s">
        <v>479</v>
      </c>
      <c r="D338" t="s">
        <v>551</v>
      </c>
      <c r="E338" t="s">
        <v>553</v>
      </c>
      <c r="F338" t="s">
        <v>557</v>
      </c>
      <c r="G338">
        <v>7</v>
      </c>
      <c r="H338">
        <v>4309</v>
      </c>
      <c r="I338">
        <v>30163</v>
      </c>
      <c r="J338">
        <f t="shared" si="5"/>
        <v>30163</v>
      </c>
      <c r="K338" t="str">
        <f>IF(Table1[[#This Row],[Quantity]]*Table1[[#This Row],[Unit_Price]]=Table1[[#This Row],[Sales]],"Match","Mismatch")</f>
        <v>Match</v>
      </c>
      <c r="L338">
        <f>Table1[[#This Row],[Profit]]/Table1[[#This Row],[Sales]]*100</f>
        <v>100</v>
      </c>
    </row>
    <row r="339" spans="1:12" x14ac:dyDescent="0.25">
      <c r="A339" t="s">
        <v>347</v>
      </c>
      <c r="B339" s="1">
        <v>45340</v>
      </c>
      <c r="C339" t="s">
        <v>457</v>
      </c>
      <c r="D339" t="s">
        <v>549</v>
      </c>
      <c r="E339" t="s">
        <v>555</v>
      </c>
      <c r="F339" t="s">
        <v>570</v>
      </c>
      <c r="G339">
        <v>3</v>
      </c>
      <c r="H339">
        <v>2334</v>
      </c>
      <c r="I339">
        <v>7002</v>
      </c>
      <c r="J339">
        <f t="shared" si="5"/>
        <v>7002</v>
      </c>
      <c r="K339" t="str">
        <f>IF(Table1[[#This Row],[Quantity]]*Table1[[#This Row],[Unit_Price]]=Table1[[#This Row],[Sales]],"Match","Mismatch")</f>
        <v>Match</v>
      </c>
      <c r="L339">
        <f>Table1[[#This Row],[Profit]]/Table1[[#This Row],[Sales]]*100</f>
        <v>100</v>
      </c>
    </row>
    <row r="340" spans="1:12" x14ac:dyDescent="0.25">
      <c r="A340" t="s">
        <v>348</v>
      </c>
      <c r="B340" s="1">
        <v>45479</v>
      </c>
      <c r="C340" t="s">
        <v>423</v>
      </c>
      <c r="D340" t="s">
        <v>550</v>
      </c>
      <c r="E340" t="s">
        <v>555</v>
      </c>
      <c r="F340" t="s">
        <v>559</v>
      </c>
      <c r="G340">
        <v>3</v>
      </c>
      <c r="H340">
        <v>3795</v>
      </c>
      <c r="I340">
        <v>11385</v>
      </c>
      <c r="J340">
        <f t="shared" si="5"/>
        <v>11385</v>
      </c>
      <c r="K340" t="str">
        <f>IF(Table1[[#This Row],[Quantity]]*Table1[[#This Row],[Unit_Price]]=Table1[[#This Row],[Sales]],"Match","Mismatch")</f>
        <v>Match</v>
      </c>
      <c r="L340">
        <f>Table1[[#This Row],[Profit]]/Table1[[#This Row],[Sales]]*100</f>
        <v>100</v>
      </c>
    </row>
    <row r="341" spans="1:12" x14ac:dyDescent="0.25">
      <c r="A341" t="s">
        <v>349</v>
      </c>
      <c r="B341" s="1">
        <v>45483</v>
      </c>
      <c r="C341" t="s">
        <v>480</v>
      </c>
      <c r="D341" t="s">
        <v>550</v>
      </c>
      <c r="E341" t="s">
        <v>553</v>
      </c>
      <c r="F341" t="s">
        <v>571</v>
      </c>
      <c r="G341">
        <v>2</v>
      </c>
      <c r="H341">
        <v>3156</v>
      </c>
      <c r="I341">
        <v>6312</v>
      </c>
      <c r="J341">
        <f t="shared" si="5"/>
        <v>6312</v>
      </c>
      <c r="K341" t="str">
        <f>IF(Table1[[#This Row],[Quantity]]*Table1[[#This Row],[Unit_Price]]=Table1[[#This Row],[Sales]],"Match","Mismatch")</f>
        <v>Match</v>
      </c>
      <c r="L341">
        <f>Table1[[#This Row],[Profit]]/Table1[[#This Row],[Sales]]*100</f>
        <v>100</v>
      </c>
    </row>
    <row r="342" spans="1:12" x14ac:dyDescent="0.25">
      <c r="A342" t="s">
        <v>350</v>
      </c>
      <c r="B342" s="1">
        <v>45561</v>
      </c>
      <c r="C342" t="s">
        <v>536</v>
      </c>
      <c r="D342" t="s">
        <v>549</v>
      </c>
      <c r="E342" t="s">
        <v>554</v>
      </c>
      <c r="F342" t="s">
        <v>574</v>
      </c>
      <c r="G342">
        <v>5</v>
      </c>
      <c r="H342">
        <v>1760</v>
      </c>
      <c r="I342">
        <v>8800</v>
      </c>
      <c r="J342">
        <f t="shared" si="5"/>
        <v>8800</v>
      </c>
      <c r="K342" t="str">
        <f>IF(Table1[[#This Row],[Quantity]]*Table1[[#This Row],[Unit_Price]]=Table1[[#This Row],[Sales]],"Match","Mismatch")</f>
        <v>Match</v>
      </c>
      <c r="L342">
        <f>Table1[[#This Row],[Profit]]/Table1[[#This Row],[Sales]]*100</f>
        <v>100</v>
      </c>
    </row>
    <row r="343" spans="1:12" x14ac:dyDescent="0.25">
      <c r="A343" t="s">
        <v>351</v>
      </c>
      <c r="B343" s="1">
        <v>45321</v>
      </c>
      <c r="C343" t="s">
        <v>482</v>
      </c>
      <c r="D343" t="s">
        <v>550</v>
      </c>
      <c r="E343" t="s">
        <v>556</v>
      </c>
      <c r="F343" t="s">
        <v>561</v>
      </c>
      <c r="G343">
        <v>3</v>
      </c>
      <c r="H343">
        <v>1466</v>
      </c>
      <c r="I343">
        <v>4398</v>
      </c>
      <c r="J343">
        <f t="shared" si="5"/>
        <v>4398</v>
      </c>
      <c r="K343" t="str">
        <f>IF(Table1[[#This Row],[Quantity]]*Table1[[#This Row],[Unit_Price]]=Table1[[#This Row],[Sales]],"Match","Mismatch")</f>
        <v>Match</v>
      </c>
      <c r="L343">
        <f>Table1[[#This Row],[Profit]]/Table1[[#This Row],[Sales]]*100</f>
        <v>100</v>
      </c>
    </row>
    <row r="344" spans="1:12" x14ac:dyDescent="0.25">
      <c r="A344" t="s">
        <v>352</v>
      </c>
      <c r="B344" s="1">
        <v>45652</v>
      </c>
      <c r="C344" t="s">
        <v>479</v>
      </c>
      <c r="D344" t="s">
        <v>549</v>
      </c>
      <c r="E344" t="s">
        <v>556</v>
      </c>
      <c r="F344" t="s">
        <v>561</v>
      </c>
      <c r="G344">
        <v>6</v>
      </c>
      <c r="H344">
        <v>2369</v>
      </c>
      <c r="I344">
        <v>14214</v>
      </c>
      <c r="J344">
        <f t="shared" si="5"/>
        <v>14214</v>
      </c>
      <c r="K344" t="str">
        <f>IF(Table1[[#This Row],[Quantity]]*Table1[[#This Row],[Unit_Price]]=Table1[[#This Row],[Sales]],"Match","Mismatch")</f>
        <v>Match</v>
      </c>
      <c r="L344">
        <f>Table1[[#This Row],[Profit]]/Table1[[#This Row],[Sales]]*100</f>
        <v>100</v>
      </c>
    </row>
    <row r="345" spans="1:12" x14ac:dyDescent="0.25">
      <c r="A345" t="s">
        <v>353</v>
      </c>
      <c r="B345" s="1">
        <v>45303</v>
      </c>
      <c r="C345" t="s">
        <v>453</v>
      </c>
      <c r="D345" t="s">
        <v>552</v>
      </c>
      <c r="E345" t="s">
        <v>555</v>
      </c>
      <c r="F345" t="s">
        <v>570</v>
      </c>
      <c r="G345">
        <v>2</v>
      </c>
      <c r="H345">
        <v>3838</v>
      </c>
      <c r="I345">
        <v>7676</v>
      </c>
      <c r="J345">
        <f t="shared" si="5"/>
        <v>7676</v>
      </c>
      <c r="K345" t="str">
        <f>IF(Table1[[#This Row],[Quantity]]*Table1[[#This Row],[Unit_Price]]=Table1[[#This Row],[Sales]],"Match","Mismatch")</f>
        <v>Match</v>
      </c>
      <c r="L345">
        <f>Table1[[#This Row],[Profit]]/Table1[[#This Row],[Sales]]*100</f>
        <v>100</v>
      </c>
    </row>
    <row r="346" spans="1:12" x14ac:dyDescent="0.25">
      <c r="A346" t="s">
        <v>354</v>
      </c>
      <c r="B346" s="1">
        <v>45356</v>
      </c>
      <c r="C346" t="s">
        <v>542</v>
      </c>
      <c r="D346" t="s">
        <v>549</v>
      </c>
      <c r="E346" t="s">
        <v>554</v>
      </c>
      <c r="F346" t="s">
        <v>572</v>
      </c>
      <c r="G346">
        <v>3</v>
      </c>
      <c r="H346">
        <v>949</v>
      </c>
      <c r="I346">
        <v>2847</v>
      </c>
      <c r="J346">
        <f t="shared" si="5"/>
        <v>2847</v>
      </c>
      <c r="K346" t="str">
        <f>IF(Table1[[#This Row],[Quantity]]*Table1[[#This Row],[Unit_Price]]=Table1[[#This Row],[Sales]],"Match","Mismatch")</f>
        <v>Match</v>
      </c>
      <c r="L346">
        <f>Table1[[#This Row],[Profit]]/Table1[[#This Row],[Sales]]*100</f>
        <v>100</v>
      </c>
    </row>
    <row r="347" spans="1:12" x14ac:dyDescent="0.25">
      <c r="A347" t="s">
        <v>355</v>
      </c>
      <c r="B347" s="1">
        <v>45319</v>
      </c>
      <c r="C347" t="s">
        <v>543</v>
      </c>
      <c r="D347" t="s">
        <v>549</v>
      </c>
      <c r="E347" t="s">
        <v>556</v>
      </c>
      <c r="F347" t="s">
        <v>565</v>
      </c>
      <c r="G347">
        <v>5</v>
      </c>
      <c r="H347">
        <v>3627</v>
      </c>
      <c r="I347">
        <v>18135</v>
      </c>
      <c r="J347">
        <f t="shared" si="5"/>
        <v>18135</v>
      </c>
      <c r="K347" t="str">
        <f>IF(Table1[[#This Row],[Quantity]]*Table1[[#This Row],[Unit_Price]]=Table1[[#This Row],[Sales]],"Match","Mismatch")</f>
        <v>Match</v>
      </c>
      <c r="L347">
        <f>Table1[[#This Row],[Profit]]/Table1[[#This Row],[Sales]]*100</f>
        <v>100</v>
      </c>
    </row>
    <row r="348" spans="1:12" x14ac:dyDescent="0.25">
      <c r="A348" t="s">
        <v>356</v>
      </c>
      <c r="B348" s="1">
        <v>45396</v>
      </c>
      <c r="C348" t="s">
        <v>536</v>
      </c>
      <c r="D348" t="s">
        <v>549</v>
      </c>
      <c r="E348" t="s">
        <v>554</v>
      </c>
      <c r="F348" t="s">
        <v>558</v>
      </c>
      <c r="G348">
        <v>1</v>
      </c>
      <c r="H348">
        <v>4980</v>
      </c>
      <c r="I348">
        <v>4980</v>
      </c>
      <c r="J348">
        <f t="shared" si="5"/>
        <v>4980</v>
      </c>
      <c r="K348" t="str">
        <f>IF(Table1[[#This Row],[Quantity]]*Table1[[#This Row],[Unit_Price]]=Table1[[#This Row],[Sales]],"Match","Mismatch")</f>
        <v>Match</v>
      </c>
      <c r="L348">
        <f>Table1[[#This Row],[Profit]]/Table1[[#This Row],[Sales]]*100</f>
        <v>100</v>
      </c>
    </row>
    <row r="349" spans="1:12" x14ac:dyDescent="0.25">
      <c r="A349" t="s">
        <v>357</v>
      </c>
      <c r="B349" s="1">
        <v>45627</v>
      </c>
      <c r="C349" t="s">
        <v>500</v>
      </c>
      <c r="D349" t="s">
        <v>550</v>
      </c>
      <c r="E349" t="s">
        <v>554</v>
      </c>
      <c r="F349" t="s">
        <v>572</v>
      </c>
      <c r="G349">
        <v>1</v>
      </c>
      <c r="H349">
        <v>2127</v>
      </c>
      <c r="I349">
        <v>2127</v>
      </c>
      <c r="J349">
        <f t="shared" si="5"/>
        <v>2127</v>
      </c>
      <c r="K349" t="str">
        <f>IF(Table1[[#This Row],[Quantity]]*Table1[[#This Row],[Unit_Price]]=Table1[[#This Row],[Sales]],"Match","Mismatch")</f>
        <v>Match</v>
      </c>
      <c r="L349">
        <f>Table1[[#This Row],[Profit]]/Table1[[#This Row],[Sales]]*100</f>
        <v>100</v>
      </c>
    </row>
    <row r="350" spans="1:12" x14ac:dyDescent="0.25">
      <c r="A350" t="s">
        <v>358</v>
      </c>
      <c r="B350" s="1">
        <v>45446</v>
      </c>
      <c r="C350" t="s">
        <v>421</v>
      </c>
      <c r="D350" t="s">
        <v>550</v>
      </c>
      <c r="E350" t="s">
        <v>555</v>
      </c>
      <c r="F350" t="s">
        <v>570</v>
      </c>
      <c r="G350">
        <v>9</v>
      </c>
      <c r="H350">
        <v>4004</v>
      </c>
      <c r="I350">
        <v>36036</v>
      </c>
      <c r="J350">
        <f t="shared" si="5"/>
        <v>36036</v>
      </c>
      <c r="K350" t="str">
        <f>IF(Table1[[#This Row],[Quantity]]*Table1[[#This Row],[Unit_Price]]=Table1[[#This Row],[Sales]],"Match","Mismatch")</f>
        <v>Match</v>
      </c>
      <c r="L350">
        <f>Table1[[#This Row],[Profit]]/Table1[[#This Row],[Sales]]*100</f>
        <v>100</v>
      </c>
    </row>
    <row r="351" spans="1:12" x14ac:dyDescent="0.25">
      <c r="A351" t="s">
        <v>359</v>
      </c>
      <c r="B351" s="1">
        <v>45580</v>
      </c>
      <c r="C351" t="s">
        <v>544</v>
      </c>
      <c r="D351" t="s">
        <v>549</v>
      </c>
      <c r="E351" t="s">
        <v>556</v>
      </c>
      <c r="F351" t="s">
        <v>563</v>
      </c>
      <c r="G351">
        <v>7</v>
      </c>
      <c r="H351">
        <v>3902</v>
      </c>
      <c r="I351">
        <v>27314</v>
      </c>
      <c r="J351">
        <f t="shared" si="5"/>
        <v>27314</v>
      </c>
      <c r="K351" t="str">
        <f>IF(Table1[[#This Row],[Quantity]]*Table1[[#This Row],[Unit_Price]]=Table1[[#This Row],[Sales]],"Match","Mismatch")</f>
        <v>Match</v>
      </c>
      <c r="L351">
        <f>Table1[[#This Row],[Profit]]/Table1[[#This Row],[Sales]]*100</f>
        <v>100</v>
      </c>
    </row>
    <row r="352" spans="1:12" x14ac:dyDescent="0.25">
      <c r="A352" t="s">
        <v>360</v>
      </c>
      <c r="B352" s="1">
        <v>45417</v>
      </c>
      <c r="C352" t="s">
        <v>434</v>
      </c>
      <c r="D352" t="s">
        <v>550</v>
      </c>
      <c r="E352" t="s">
        <v>553</v>
      </c>
      <c r="F352" t="s">
        <v>562</v>
      </c>
      <c r="G352">
        <v>1</v>
      </c>
      <c r="H352">
        <v>2556</v>
      </c>
      <c r="I352">
        <v>2556</v>
      </c>
      <c r="J352">
        <f t="shared" si="5"/>
        <v>2556</v>
      </c>
      <c r="K352" t="str">
        <f>IF(Table1[[#This Row],[Quantity]]*Table1[[#This Row],[Unit_Price]]=Table1[[#This Row],[Sales]],"Match","Mismatch")</f>
        <v>Match</v>
      </c>
      <c r="L352">
        <f>Table1[[#This Row],[Profit]]/Table1[[#This Row],[Sales]]*100</f>
        <v>100</v>
      </c>
    </row>
    <row r="353" spans="1:12" x14ac:dyDescent="0.25">
      <c r="A353" t="s">
        <v>361</v>
      </c>
      <c r="B353" s="1">
        <v>45346</v>
      </c>
      <c r="C353" t="s">
        <v>442</v>
      </c>
      <c r="D353" t="s">
        <v>551</v>
      </c>
      <c r="E353" t="s">
        <v>555</v>
      </c>
      <c r="F353" t="s">
        <v>567</v>
      </c>
      <c r="G353">
        <v>8</v>
      </c>
      <c r="H353">
        <v>4990</v>
      </c>
      <c r="I353">
        <v>39920</v>
      </c>
      <c r="J353">
        <f t="shared" si="5"/>
        <v>39920</v>
      </c>
      <c r="K353" t="str">
        <f>IF(Table1[[#This Row],[Quantity]]*Table1[[#This Row],[Unit_Price]]=Table1[[#This Row],[Sales]],"Match","Mismatch")</f>
        <v>Match</v>
      </c>
      <c r="L353">
        <f>Table1[[#This Row],[Profit]]/Table1[[#This Row],[Sales]]*100</f>
        <v>100</v>
      </c>
    </row>
    <row r="354" spans="1:12" x14ac:dyDescent="0.25">
      <c r="A354" t="s">
        <v>362</v>
      </c>
      <c r="B354" s="1">
        <v>45517</v>
      </c>
      <c r="C354" t="s">
        <v>522</v>
      </c>
      <c r="D354" t="s">
        <v>551</v>
      </c>
      <c r="E354" t="s">
        <v>556</v>
      </c>
      <c r="F354" t="s">
        <v>561</v>
      </c>
      <c r="G354">
        <v>3</v>
      </c>
      <c r="H354">
        <v>2535</v>
      </c>
      <c r="I354">
        <v>7605</v>
      </c>
      <c r="J354">
        <f t="shared" si="5"/>
        <v>7605</v>
      </c>
      <c r="K354" t="str">
        <f>IF(Table1[[#This Row],[Quantity]]*Table1[[#This Row],[Unit_Price]]=Table1[[#This Row],[Sales]],"Match","Mismatch")</f>
        <v>Match</v>
      </c>
      <c r="L354">
        <f>Table1[[#This Row],[Profit]]/Table1[[#This Row],[Sales]]*100</f>
        <v>100</v>
      </c>
    </row>
    <row r="355" spans="1:12" x14ac:dyDescent="0.25">
      <c r="A355" t="s">
        <v>363</v>
      </c>
      <c r="B355" s="1">
        <v>45348</v>
      </c>
      <c r="C355" t="s">
        <v>460</v>
      </c>
      <c r="D355" t="s">
        <v>550</v>
      </c>
      <c r="E355" t="s">
        <v>556</v>
      </c>
      <c r="F355" t="s">
        <v>561</v>
      </c>
      <c r="G355">
        <v>8</v>
      </c>
      <c r="H355">
        <v>506</v>
      </c>
      <c r="I355">
        <v>4048</v>
      </c>
      <c r="J355">
        <f t="shared" si="5"/>
        <v>4048</v>
      </c>
      <c r="K355" t="str">
        <f>IF(Table1[[#This Row],[Quantity]]*Table1[[#This Row],[Unit_Price]]=Table1[[#This Row],[Sales]],"Match","Mismatch")</f>
        <v>Match</v>
      </c>
      <c r="L355">
        <f>Table1[[#This Row],[Profit]]/Table1[[#This Row],[Sales]]*100</f>
        <v>100</v>
      </c>
    </row>
    <row r="356" spans="1:12" x14ac:dyDescent="0.25">
      <c r="A356" t="s">
        <v>364</v>
      </c>
      <c r="B356" s="1">
        <v>45439</v>
      </c>
      <c r="C356" t="s">
        <v>440</v>
      </c>
      <c r="D356" t="s">
        <v>550</v>
      </c>
      <c r="E356" t="s">
        <v>556</v>
      </c>
      <c r="F356" t="s">
        <v>569</v>
      </c>
      <c r="G356">
        <v>5</v>
      </c>
      <c r="H356">
        <v>3865</v>
      </c>
      <c r="I356">
        <v>19325</v>
      </c>
      <c r="J356">
        <f t="shared" si="5"/>
        <v>19325</v>
      </c>
      <c r="K356" t="str">
        <f>IF(Table1[[#This Row],[Quantity]]*Table1[[#This Row],[Unit_Price]]=Table1[[#This Row],[Sales]],"Match","Mismatch")</f>
        <v>Match</v>
      </c>
      <c r="L356">
        <f>Table1[[#This Row],[Profit]]/Table1[[#This Row],[Sales]]*100</f>
        <v>100</v>
      </c>
    </row>
    <row r="357" spans="1:12" x14ac:dyDescent="0.25">
      <c r="A357" t="s">
        <v>365</v>
      </c>
      <c r="B357" s="1">
        <v>45550</v>
      </c>
      <c r="C357" t="s">
        <v>535</v>
      </c>
      <c r="D357" t="s">
        <v>549</v>
      </c>
      <c r="E357" t="s">
        <v>556</v>
      </c>
      <c r="F357" t="s">
        <v>563</v>
      </c>
      <c r="G357">
        <v>1</v>
      </c>
      <c r="H357">
        <v>2189</v>
      </c>
      <c r="I357">
        <v>2189</v>
      </c>
      <c r="J357">
        <f t="shared" si="5"/>
        <v>2189</v>
      </c>
      <c r="K357" t="str">
        <f>IF(Table1[[#This Row],[Quantity]]*Table1[[#This Row],[Unit_Price]]=Table1[[#This Row],[Sales]],"Match","Mismatch")</f>
        <v>Match</v>
      </c>
      <c r="L357">
        <f>Table1[[#This Row],[Profit]]/Table1[[#This Row],[Sales]]*100</f>
        <v>100</v>
      </c>
    </row>
    <row r="358" spans="1:12" x14ac:dyDescent="0.25">
      <c r="A358" t="s">
        <v>366</v>
      </c>
      <c r="B358" s="1">
        <v>45508</v>
      </c>
      <c r="C358" t="s">
        <v>545</v>
      </c>
      <c r="D358" t="s">
        <v>552</v>
      </c>
      <c r="E358" t="s">
        <v>556</v>
      </c>
      <c r="F358" t="s">
        <v>568</v>
      </c>
      <c r="G358">
        <v>7</v>
      </c>
      <c r="H358">
        <v>861</v>
      </c>
      <c r="I358">
        <v>6027</v>
      </c>
      <c r="J358">
        <f t="shared" si="5"/>
        <v>6027</v>
      </c>
      <c r="K358" t="str">
        <f>IF(Table1[[#This Row],[Quantity]]*Table1[[#This Row],[Unit_Price]]=Table1[[#This Row],[Sales]],"Match","Mismatch")</f>
        <v>Match</v>
      </c>
      <c r="L358">
        <f>Table1[[#This Row],[Profit]]/Table1[[#This Row],[Sales]]*100</f>
        <v>100</v>
      </c>
    </row>
    <row r="359" spans="1:12" x14ac:dyDescent="0.25">
      <c r="A359" t="s">
        <v>367</v>
      </c>
      <c r="B359" s="1">
        <v>45302</v>
      </c>
      <c r="C359" t="s">
        <v>449</v>
      </c>
      <c r="D359" t="s">
        <v>550</v>
      </c>
      <c r="E359" t="s">
        <v>554</v>
      </c>
      <c r="F359" t="s">
        <v>564</v>
      </c>
      <c r="G359">
        <v>5</v>
      </c>
      <c r="H359">
        <v>4844</v>
      </c>
      <c r="I359">
        <v>24220</v>
      </c>
      <c r="J359">
        <f t="shared" si="5"/>
        <v>24220</v>
      </c>
      <c r="K359" t="str">
        <f>IF(Table1[[#This Row],[Quantity]]*Table1[[#This Row],[Unit_Price]]=Table1[[#This Row],[Sales]],"Match","Mismatch")</f>
        <v>Match</v>
      </c>
      <c r="L359">
        <f>Table1[[#This Row],[Profit]]/Table1[[#This Row],[Sales]]*100</f>
        <v>100</v>
      </c>
    </row>
    <row r="360" spans="1:12" x14ac:dyDescent="0.25">
      <c r="A360" t="s">
        <v>368</v>
      </c>
      <c r="B360" s="1">
        <v>45589</v>
      </c>
      <c r="C360" t="s">
        <v>420</v>
      </c>
      <c r="D360" t="s">
        <v>551</v>
      </c>
      <c r="E360" t="s">
        <v>555</v>
      </c>
      <c r="F360" t="s">
        <v>559</v>
      </c>
      <c r="G360">
        <v>6</v>
      </c>
      <c r="H360">
        <v>511</v>
      </c>
      <c r="I360">
        <v>3066</v>
      </c>
      <c r="J360">
        <f t="shared" si="5"/>
        <v>3066</v>
      </c>
      <c r="K360" t="str">
        <f>IF(Table1[[#This Row],[Quantity]]*Table1[[#This Row],[Unit_Price]]=Table1[[#This Row],[Sales]],"Match","Mismatch")</f>
        <v>Match</v>
      </c>
      <c r="L360">
        <f>Table1[[#This Row],[Profit]]/Table1[[#This Row],[Sales]]*100</f>
        <v>100</v>
      </c>
    </row>
    <row r="361" spans="1:12" x14ac:dyDescent="0.25">
      <c r="A361" t="s">
        <v>369</v>
      </c>
      <c r="B361" s="1">
        <v>45550</v>
      </c>
      <c r="C361" t="s">
        <v>536</v>
      </c>
      <c r="D361" t="s">
        <v>549</v>
      </c>
      <c r="E361" t="s">
        <v>554</v>
      </c>
      <c r="F361" t="s">
        <v>573</v>
      </c>
      <c r="G361">
        <v>6</v>
      </c>
      <c r="H361">
        <v>3120</v>
      </c>
      <c r="I361">
        <v>18720</v>
      </c>
      <c r="J361">
        <f t="shared" si="5"/>
        <v>18720</v>
      </c>
      <c r="K361" t="str">
        <f>IF(Table1[[#This Row],[Quantity]]*Table1[[#This Row],[Unit_Price]]=Table1[[#This Row],[Sales]],"Match","Mismatch")</f>
        <v>Match</v>
      </c>
      <c r="L361">
        <f>Table1[[#This Row],[Profit]]/Table1[[#This Row],[Sales]]*100</f>
        <v>100</v>
      </c>
    </row>
    <row r="362" spans="1:12" x14ac:dyDescent="0.25">
      <c r="A362" t="s">
        <v>370</v>
      </c>
      <c r="B362" s="1">
        <v>45328</v>
      </c>
      <c r="C362" t="s">
        <v>546</v>
      </c>
      <c r="D362" t="s">
        <v>550</v>
      </c>
      <c r="E362" t="s">
        <v>553</v>
      </c>
      <c r="F362" t="s">
        <v>576</v>
      </c>
      <c r="G362">
        <v>8</v>
      </c>
      <c r="H362">
        <v>1282</v>
      </c>
      <c r="I362">
        <v>10256</v>
      </c>
      <c r="J362">
        <f t="shared" si="5"/>
        <v>10256</v>
      </c>
      <c r="K362" t="str">
        <f>IF(Table1[[#This Row],[Quantity]]*Table1[[#This Row],[Unit_Price]]=Table1[[#This Row],[Sales]],"Match","Mismatch")</f>
        <v>Match</v>
      </c>
      <c r="L362">
        <f>Table1[[#This Row],[Profit]]/Table1[[#This Row],[Sales]]*100</f>
        <v>100</v>
      </c>
    </row>
    <row r="363" spans="1:12" x14ac:dyDescent="0.25">
      <c r="A363" t="s">
        <v>371</v>
      </c>
      <c r="B363" s="1">
        <v>45511</v>
      </c>
      <c r="C363" t="s">
        <v>487</v>
      </c>
      <c r="D363" t="s">
        <v>551</v>
      </c>
      <c r="E363" t="s">
        <v>556</v>
      </c>
      <c r="F363" t="s">
        <v>565</v>
      </c>
      <c r="G363">
        <v>9</v>
      </c>
      <c r="H363">
        <v>3171</v>
      </c>
      <c r="I363">
        <v>28539</v>
      </c>
      <c r="J363">
        <f t="shared" si="5"/>
        <v>28539</v>
      </c>
      <c r="K363" t="str">
        <f>IF(Table1[[#This Row],[Quantity]]*Table1[[#This Row],[Unit_Price]]=Table1[[#This Row],[Sales]],"Match","Mismatch")</f>
        <v>Match</v>
      </c>
      <c r="L363">
        <f>Table1[[#This Row],[Profit]]/Table1[[#This Row],[Sales]]*100</f>
        <v>100</v>
      </c>
    </row>
    <row r="364" spans="1:12" x14ac:dyDescent="0.25">
      <c r="A364" t="s">
        <v>372</v>
      </c>
      <c r="B364" s="1">
        <v>45425</v>
      </c>
      <c r="C364" t="s">
        <v>506</v>
      </c>
      <c r="D364" t="s">
        <v>551</v>
      </c>
      <c r="E364" t="s">
        <v>555</v>
      </c>
      <c r="F364" t="s">
        <v>566</v>
      </c>
      <c r="G364">
        <v>2</v>
      </c>
      <c r="H364">
        <v>954</v>
      </c>
      <c r="I364">
        <v>1908</v>
      </c>
      <c r="J364">
        <f t="shared" si="5"/>
        <v>1908</v>
      </c>
      <c r="K364" t="str">
        <f>IF(Table1[[#This Row],[Quantity]]*Table1[[#This Row],[Unit_Price]]=Table1[[#This Row],[Sales]],"Match","Mismatch")</f>
        <v>Match</v>
      </c>
      <c r="L364">
        <f>Table1[[#This Row],[Profit]]/Table1[[#This Row],[Sales]]*100</f>
        <v>100</v>
      </c>
    </row>
    <row r="365" spans="1:12" x14ac:dyDescent="0.25">
      <c r="A365" t="s">
        <v>373</v>
      </c>
      <c r="B365" s="1">
        <v>45496</v>
      </c>
      <c r="C365" t="s">
        <v>447</v>
      </c>
      <c r="D365" t="s">
        <v>552</v>
      </c>
      <c r="E365" t="s">
        <v>556</v>
      </c>
      <c r="F365" t="s">
        <v>565</v>
      </c>
      <c r="G365">
        <v>9</v>
      </c>
      <c r="H365">
        <v>4330</v>
      </c>
      <c r="I365">
        <v>38970</v>
      </c>
      <c r="J365">
        <f t="shared" si="5"/>
        <v>38970</v>
      </c>
      <c r="K365" t="str">
        <f>IF(Table1[[#This Row],[Quantity]]*Table1[[#This Row],[Unit_Price]]=Table1[[#This Row],[Sales]],"Match","Mismatch")</f>
        <v>Match</v>
      </c>
      <c r="L365">
        <f>Table1[[#This Row],[Profit]]/Table1[[#This Row],[Sales]]*100</f>
        <v>100</v>
      </c>
    </row>
    <row r="366" spans="1:12" x14ac:dyDescent="0.25">
      <c r="A366" t="s">
        <v>374</v>
      </c>
      <c r="B366" s="1">
        <v>45624</v>
      </c>
      <c r="C366" t="s">
        <v>430</v>
      </c>
      <c r="D366" t="s">
        <v>549</v>
      </c>
      <c r="E366" t="s">
        <v>555</v>
      </c>
      <c r="F366" t="s">
        <v>575</v>
      </c>
      <c r="G366">
        <v>9</v>
      </c>
      <c r="H366">
        <v>4740</v>
      </c>
      <c r="I366">
        <v>42660</v>
      </c>
      <c r="J366">
        <f t="shared" si="5"/>
        <v>42660</v>
      </c>
      <c r="K366" t="str">
        <f>IF(Table1[[#This Row],[Quantity]]*Table1[[#This Row],[Unit_Price]]=Table1[[#This Row],[Sales]],"Match","Mismatch")</f>
        <v>Match</v>
      </c>
      <c r="L366">
        <f>Table1[[#This Row],[Profit]]/Table1[[#This Row],[Sales]]*100</f>
        <v>100</v>
      </c>
    </row>
    <row r="367" spans="1:12" x14ac:dyDescent="0.25">
      <c r="A367" t="s">
        <v>375</v>
      </c>
      <c r="B367" s="1">
        <v>45353</v>
      </c>
      <c r="C367" t="s">
        <v>538</v>
      </c>
      <c r="D367" t="s">
        <v>549</v>
      </c>
      <c r="E367" t="s">
        <v>554</v>
      </c>
      <c r="F367" t="s">
        <v>573</v>
      </c>
      <c r="G367">
        <v>7</v>
      </c>
      <c r="H367">
        <v>552</v>
      </c>
      <c r="I367">
        <v>3864</v>
      </c>
      <c r="J367">
        <f t="shared" si="5"/>
        <v>3864</v>
      </c>
      <c r="K367" t="str">
        <f>IF(Table1[[#This Row],[Quantity]]*Table1[[#This Row],[Unit_Price]]=Table1[[#This Row],[Sales]],"Match","Mismatch")</f>
        <v>Match</v>
      </c>
      <c r="L367">
        <f>Table1[[#This Row],[Profit]]/Table1[[#This Row],[Sales]]*100</f>
        <v>100</v>
      </c>
    </row>
    <row r="368" spans="1:12" x14ac:dyDescent="0.25">
      <c r="A368" t="s">
        <v>376</v>
      </c>
      <c r="B368" s="1">
        <v>45391</v>
      </c>
      <c r="C368" t="s">
        <v>466</v>
      </c>
      <c r="D368" t="s">
        <v>552</v>
      </c>
      <c r="E368" t="s">
        <v>555</v>
      </c>
      <c r="F368" t="s">
        <v>575</v>
      </c>
      <c r="G368">
        <v>1</v>
      </c>
      <c r="H368">
        <v>1102</v>
      </c>
      <c r="I368">
        <v>1102</v>
      </c>
      <c r="J368">
        <f t="shared" si="5"/>
        <v>1102</v>
      </c>
      <c r="K368" t="str">
        <f>IF(Table1[[#This Row],[Quantity]]*Table1[[#This Row],[Unit_Price]]=Table1[[#This Row],[Sales]],"Match","Mismatch")</f>
        <v>Match</v>
      </c>
      <c r="L368">
        <f>Table1[[#This Row],[Profit]]/Table1[[#This Row],[Sales]]*100</f>
        <v>100</v>
      </c>
    </row>
    <row r="369" spans="1:12" x14ac:dyDescent="0.25">
      <c r="A369" t="s">
        <v>377</v>
      </c>
      <c r="B369" s="1">
        <v>45429</v>
      </c>
      <c r="C369" t="s">
        <v>542</v>
      </c>
      <c r="D369" t="s">
        <v>552</v>
      </c>
      <c r="E369" t="s">
        <v>553</v>
      </c>
      <c r="F369" t="s">
        <v>562</v>
      </c>
      <c r="G369">
        <v>7</v>
      </c>
      <c r="H369">
        <v>4088</v>
      </c>
      <c r="I369">
        <v>28616</v>
      </c>
      <c r="J369">
        <f t="shared" si="5"/>
        <v>28616</v>
      </c>
      <c r="K369" t="str">
        <f>IF(Table1[[#This Row],[Quantity]]*Table1[[#This Row],[Unit_Price]]=Table1[[#This Row],[Sales]],"Match","Mismatch")</f>
        <v>Match</v>
      </c>
      <c r="L369">
        <f>Table1[[#This Row],[Profit]]/Table1[[#This Row],[Sales]]*100</f>
        <v>100</v>
      </c>
    </row>
    <row r="370" spans="1:12" x14ac:dyDescent="0.25">
      <c r="A370" t="s">
        <v>378</v>
      </c>
      <c r="B370" s="1">
        <v>45497</v>
      </c>
      <c r="C370" t="s">
        <v>505</v>
      </c>
      <c r="D370" t="s">
        <v>549</v>
      </c>
      <c r="E370" t="s">
        <v>553</v>
      </c>
      <c r="F370" t="s">
        <v>560</v>
      </c>
      <c r="G370">
        <v>5</v>
      </c>
      <c r="H370">
        <v>358</v>
      </c>
      <c r="I370">
        <v>1790</v>
      </c>
      <c r="J370">
        <f t="shared" si="5"/>
        <v>1790</v>
      </c>
      <c r="K370" t="str">
        <f>IF(Table1[[#This Row],[Quantity]]*Table1[[#This Row],[Unit_Price]]=Table1[[#This Row],[Sales]],"Match","Mismatch")</f>
        <v>Match</v>
      </c>
      <c r="L370">
        <f>Table1[[#This Row],[Profit]]/Table1[[#This Row],[Sales]]*100</f>
        <v>100</v>
      </c>
    </row>
    <row r="371" spans="1:12" x14ac:dyDescent="0.25">
      <c r="A371" t="s">
        <v>379</v>
      </c>
      <c r="B371" s="1">
        <v>45390</v>
      </c>
      <c r="C371" t="s">
        <v>509</v>
      </c>
      <c r="D371" t="s">
        <v>549</v>
      </c>
      <c r="E371" t="s">
        <v>555</v>
      </c>
      <c r="F371" t="s">
        <v>559</v>
      </c>
      <c r="G371">
        <v>6</v>
      </c>
      <c r="H371">
        <v>2177</v>
      </c>
      <c r="I371">
        <v>13062</v>
      </c>
      <c r="J371">
        <f t="shared" si="5"/>
        <v>13062</v>
      </c>
      <c r="K371" t="str">
        <f>IF(Table1[[#This Row],[Quantity]]*Table1[[#This Row],[Unit_Price]]=Table1[[#This Row],[Sales]],"Match","Mismatch")</f>
        <v>Match</v>
      </c>
      <c r="L371">
        <f>Table1[[#This Row],[Profit]]/Table1[[#This Row],[Sales]]*100</f>
        <v>100</v>
      </c>
    </row>
    <row r="372" spans="1:12" x14ac:dyDescent="0.25">
      <c r="A372" t="s">
        <v>380</v>
      </c>
      <c r="B372" s="1">
        <v>45435</v>
      </c>
      <c r="C372" t="s">
        <v>495</v>
      </c>
      <c r="D372" t="s">
        <v>550</v>
      </c>
      <c r="E372" t="s">
        <v>555</v>
      </c>
      <c r="F372" t="s">
        <v>570</v>
      </c>
      <c r="G372">
        <v>7</v>
      </c>
      <c r="H372">
        <v>1156</v>
      </c>
      <c r="I372">
        <v>8092</v>
      </c>
      <c r="J372">
        <f t="shared" si="5"/>
        <v>8092</v>
      </c>
      <c r="K372" t="str">
        <f>IF(Table1[[#This Row],[Quantity]]*Table1[[#This Row],[Unit_Price]]=Table1[[#This Row],[Sales]],"Match","Mismatch")</f>
        <v>Match</v>
      </c>
      <c r="L372">
        <f>Table1[[#This Row],[Profit]]/Table1[[#This Row],[Sales]]*100</f>
        <v>100</v>
      </c>
    </row>
    <row r="373" spans="1:12" x14ac:dyDescent="0.25">
      <c r="A373" t="s">
        <v>381</v>
      </c>
      <c r="B373" s="1">
        <v>45424</v>
      </c>
      <c r="C373" t="s">
        <v>479</v>
      </c>
      <c r="D373" t="s">
        <v>550</v>
      </c>
      <c r="E373" t="s">
        <v>555</v>
      </c>
      <c r="F373" t="s">
        <v>575</v>
      </c>
      <c r="G373">
        <v>5</v>
      </c>
      <c r="H373">
        <v>2271</v>
      </c>
      <c r="I373">
        <v>11355</v>
      </c>
      <c r="J373">
        <f t="shared" si="5"/>
        <v>11355</v>
      </c>
      <c r="K373" t="str">
        <f>IF(Table1[[#This Row],[Quantity]]*Table1[[#This Row],[Unit_Price]]=Table1[[#This Row],[Sales]],"Match","Mismatch")</f>
        <v>Match</v>
      </c>
      <c r="L373">
        <f>Table1[[#This Row],[Profit]]/Table1[[#This Row],[Sales]]*100</f>
        <v>100</v>
      </c>
    </row>
    <row r="374" spans="1:12" x14ac:dyDescent="0.25">
      <c r="A374" t="s">
        <v>382</v>
      </c>
      <c r="B374" s="1">
        <v>45440</v>
      </c>
      <c r="C374" t="s">
        <v>529</v>
      </c>
      <c r="D374" t="s">
        <v>552</v>
      </c>
      <c r="E374" t="s">
        <v>555</v>
      </c>
      <c r="F374" t="s">
        <v>559</v>
      </c>
      <c r="G374">
        <v>7</v>
      </c>
      <c r="H374">
        <v>603</v>
      </c>
      <c r="I374">
        <v>4221</v>
      </c>
      <c r="J374">
        <f t="shared" si="5"/>
        <v>4221</v>
      </c>
      <c r="K374" t="str">
        <f>IF(Table1[[#This Row],[Quantity]]*Table1[[#This Row],[Unit_Price]]=Table1[[#This Row],[Sales]],"Match","Mismatch")</f>
        <v>Match</v>
      </c>
      <c r="L374">
        <f>Table1[[#This Row],[Profit]]/Table1[[#This Row],[Sales]]*100</f>
        <v>100</v>
      </c>
    </row>
    <row r="375" spans="1:12" x14ac:dyDescent="0.25">
      <c r="A375" t="s">
        <v>383</v>
      </c>
      <c r="B375" s="1">
        <v>45451</v>
      </c>
      <c r="C375" t="s">
        <v>547</v>
      </c>
      <c r="D375" t="s">
        <v>550</v>
      </c>
      <c r="E375" t="s">
        <v>553</v>
      </c>
      <c r="F375" t="s">
        <v>562</v>
      </c>
      <c r="G375">
        <v>9</v>
      </c>
      <c r="H375">
        <v>4811</v>
      </c>
      <c r="I375">
        <v>43299</v>
      </c>
      <c r="J375">
        <f t="shared" si="5"/>
        <v>43299</v>
      </c>
      <c r="K375" t="str">
        <f>IF(Table1[[#This Row],[Quantity]]*Table1[[#This Row],[Unit_Price]]=Table1[[#This Row],[Sales]],"Match","Mismatch")</f>
        <v>Match</v>
      </c>
      <c r="L375">
        <f>Table1[[#This Row],[Profit]]/Table1[[#This Row],[Sales]]*100</f>
        <v>100</v>
      </c>
    </row>
    <row r="376" spans="1:12" x14ac:dyDescent="0.25">
      <c r="A376" t="s">
        <v>384</v>
      </c>
      <c r="B376" s="1">
        <v>45322</v>
      </c>
      <c r="C376" t="s">
        <v>489</v>
      </c>
      <c r="D376" t="s">
        <v>551</v>
      </c>
      <c r="E376" t="s">
        <v>556</v>
      </c>
      <c r="F376" t="s">
        <v>563</v>
      </c>
      <c r="G376">
        <v>3</v>
      </c>
      <c r="H376">
        <v>2979</v>
      </c>
      <c r="I376">
        <v>8937</v>
      </c>
      <c r="J376">
        <f t="shared" si="5"/>
        <v>8937</v>
      </c>
      <c r="K376" t="str">
        <f>IF(Table1[[#This Row],[Quantity]]*Table1[[#This Row],[Unit_Price]]=Table1[[#This Row],[Sales]],"Match","Mismatch")</f>
        <v>Match</v>
      </c>
      <c r="L376">
        <f>Table1[[#This Row],[Profit]]/Table1[[#This Row],[Sales]]*100</f>
        <v>100</v>
      </c>
    </row>
    <row r="377" spans="1:12" x14ac:dyDescent="0.25">
      <c r="A377" t="s">
        <v>385</v>
      </c>
      <c r="B377" s="1">
        <v>45547</v>
      </c>
      <c r="C377" t="s">
        <v>548</v>
      </c>
      <c r="D377" t="s">
        <v>550</v>
      </c>
      <c r="E377" t="s">
        <v>555</v>
      </c>
      <c r="F377" t="s">
        <v>567</v>
      </c>
      <c r="G377">
        <v>8</v>
      </c>
      <c r="H377">
        <v>1587</v>
      </c>
      <c r="I377">
        <v>12696</v>
      </c>
      <c r="J377">
        <f t="shared" si="5"/>
        <v>12696</v>
      </c>
      <c r="K377" t="str">
        <f>IF(Table1[[#This Row],[Quantity]]*Table1[[#This Row],[Unit_Price]]=Table1[[#This Row],[Sales]],"Match","Mismatch")</f>
        <v>Match</v>
      </c>
      <c r="L377">
        <f>Table1[[#This Row],[Profit]]/Table1[[#This Row],[Sales]]*100</f>
        <v>100</v>
      </c>
    </row>
    <row r="378" spans="1:12" x14ac:dyDescent="0.25">
      <c r="A378" t="s">
        <v>386</v>
      </c>
      <c r="B378" s="1">
        <v>45402</v>
      </c>
      <c r="C378" t="s">
        <v>481</v>
      </c>
      <c r="D378" t="s">
        <v>550</v>
      </c>
      <c r="E378" t="s">
        <v>555</v>
      </c>
      <c r="F378" t="s">
        <v>559</v>
      </c>
      <c r="G378">
        <v>2</v>
      </c>
      <c r="H378">
        <v>3653</v>
      </c>
      <c r="I378">
        <v>7306</v>
      </c>
      <c r="J378">
        <f t="shared" si="5"/>
        <v>7306</v>
      </c>
      <c r="K378" t="str">
        <f>IF(Table1[[#This Row],[Quantity]]*Table1[[#This Row],[Unit_Price]]=Table1[[#This Row],[Sales]],"Match","Mismatch")</f>
        <v>Match</v>
      </c>
      <c r="L378">
        <f>Table1[[#This Row],[Profit]]/Table1[[#This Row],[Sales]]*100</f>
        <v>100</v>
      </c>
    </row>
    <row r="379" spans="1:12" x14ac:dyDescent="0.25">
      <c r="A379" t="s">
        <v>387</v>
      </c>
      <c r="B379" s="1">
        <v>45622</v>
      </c>
      <c r="C379" t="s">
        <v>417</v>
      </c>
      <c r="D379" t="s">
        <v>551</v>
      </c>
      <c r="E379" t="s">
        <v>553</v>
      </c>
      <c r="F379" t="s">
        <v>557</v>
      </c>
      <c r="G379">
        <v>7</v>
      </c>
      <c r="H379">
        <v>1155</v>
      </c>
      <c r="I379">
        <v>8085</v>
      </c>
      <c r="J379">
        <f t="shared" si="5"/>
        <v>8085</v>
      </c>
      <c r="K379" t="str">
        <f>IF(Table1[[#This Row],[Quantity]]*Table1[[#This Row],[Unit_Price]]=Table1[[#This Row],[Sales]],"Match","Mismatch")</f>
        <v>Match</v>
      </c>
      <c r="L379">
        <f>Table1[[#This Row],[Profit]]/Table1[[#This Row],[Sales]]*100</f>
        <v>100</v>
      </c>
    </row>
    <row r="380" spans="1:12" x14ac:dyDescent="0.25">
      <c r="A380" t="s">
        <v>388</v>
      </c>
      <c r="B380" s="1">
        <v>45470</v>
      </c>
      <c r="C380" t="s">
        <v>476</v>
      </c>
      <c r="D380" t="s">
        <v>552</v>
      </c>
      <c r="E380" t="s">
        <v>553</v>
      </c>
      <c r="F380" t="s">
        <v>576</v>
      </c>
      <c r="G380">
        <v>2</v>
      </c>
      <c r="H380">
        <v>1912</v>
      </c>
      <c r="I380">
        <v>3824</v>
      </c>
      <c r="J380">
        <f t="shared" si="5"/>
        <v>3824</v>
      </c>
      <c r="K380" t="str">
        <f>IF(Table1[[#This Row],[Quantity]]*Table1[[#This Row],[Unit_Price]]=Table1[[#This Row],[Sales]],"Match","Mismatch")</f>
        <v>Match</v>
      </c>
      <c r="L380">
        <f>Table1[[#This Row],[Profit]]/Table1[[#This Row],[Sales]]*100</f>
        <v>100</v>
      </c>
    </row>
    <row r="381" spans="1:12" x14ac:dyDescent="0.25">
      <c r="A381" t="s">
        <v>389</v>
      </c>
      <c r="B381" s="1">
        <v>45473</v>
      </c>
      <c r="C381" t="s">
        <v>523</v>
      </c>
      <c r="D381" t="s">
        <v>551</v>
      </c>
      <c r="E381" t="s">
        <v>554</v>
      </c>
      <c r="F381" t="s">
        <v>558</v>
      </c>
      <c r="G381">
        <v>4</v>
      </c>
      <c r="H381">
        <v>4903</v>
      </c>
      <c r="I381">
        <v>19612</v>
      </c>
      <c r="J381">
        <f t="shared" si="5"/>
        <v>19612</v>
      </c>
      <c r="K381" t="str">
        <f>IF(Table1[[#This Row],[Quantity]]*Table1[[#This Row],[Unit_Price]]=Table1[[#This Row],[Sales]],"Match","Mismatch")</f>
        <v>Match</v>
      </c>
      <c r="L381">
        <f>Table1[[#This Row],[Profit]]/Table1[[#This Row],[Sales]]*100</f>
        <v>100</v>
      </c>
    </row>
    <row r="382" spans="1:12" x14ac:dyDescent="0.25">
      <c r="A382" t="s">
        <v>390</v>
      </c>
      <c r="B382" s="1">
        <v>45367</v>
      </c>
      <c r="C382" t="s">
        <v>465</v>
      </c>
      <c r="D382" t="s">
        <v>550</v>
      </c>
      <c r="E382" t="s">
        <v>555</v>
      </c>
      <c r="F382" t="s">
        <v>575</v>
      </c>
      <c r="G382">
        <v>7</v>
      </c>
      <c r="H382">
        <v>1473</v>
      </c>
      <c r="I382">
        <v>10311</v>
      </c>
      <c r="J382">
        <f t="shared" si="5"/>
        <v>10311</v>
      </c>
      <c r="K382" t="str">
        <f>IF(Table1[[#This Row],[Quantity]]*Table1[[#This Row],[Unit_Price]]=Table1[[#This Row],[Sales]],"Match","Mismatch")</f>
        <v>Match</v>
      </c>
      <c r="L382">
        <f>Table1[[#This Row],[Profit]]/Table1[[#This Row],[Sales]]*100</f>
        <v>100</v>
      </c>
    </row>
    <row r="383" spans="1:12" x14ac:dyDescent="0.25">
      <c r="A383" t="s">
        <v>391</v>
      </c>
      <c r="B383" s="1">
        <v>45327</v>
      </c>
      <c r="C383" t="s">
        <v>420</v>
      </c>
      <c r="D383" t="s">
        <v>552</v>
      </c>
      <c r="E383" t="s">
        <v>554</v>
      </c>
      <c r="F383" t="s">
        <v>572</v>
      </c>
      <c r="G383">
        <v>3</v>
      </c>
      <c r="H383">
        <v>4011</v>
      </c>
      <c r="I383">
        <v>12033</v>
      </c>
      <c r="J383">
        <f t="shared" si="5"/>
        <v>12033</v>
      </c>
      <c r="K383" t="str">
        <f>IF(Table1[[#This Row],[Quantity]]*Table1[[#This Row],[Unit_Price]]=Table1[[#This Row],[Sales]],"Match","Mismatch")</f>
        <v>Match</v>
      </c>
      <c r="L383">
        <f>Table1[[#This Row],[Profit]]/Table1[[#This Row],[Sales]]*100</f>
        <v>100</v>
      </c>
    </row>
    <row r="384" spans="1:12" x14ac:dyDescent="0.25">
      <c r="A384" t="s">
        <v>392</v>
      </c>
      <c r="B384" s="1">
        <v>45542</v>
      </c>
      <c r="C384" t="s">
        <v>513</v>
      </c>
      <c r="D384" t="s">
        <v>550</v>
      </c>
      <c r="E384" t="s">
        <v>553</v>
      </c>
      <c r="F384" t="s">
        <v>562</v>
      </c>
      <c r="G384">
        <v>2</v>
      </c>
      <c r="H384">
        <v>2825</v>
      </c>
      <c r="I384">
        <v>5650</v>
      </c>
      <c r="J384">
        <f t="shared" si="5"/>
        <v>5650</v>
      </c>
      <c r="K384" t="str">
        <f>IF(Table1[[#This Row],[Quantity]]*Table1[[#This Row],[Unit_Price]]=Table1[[#This Row],[Sales]],"Match","Mismatch")</f>
        <v>Match</v>
      </c>
      <c r="L384">
        <f>Table1[[#This Row],[Profit]]/Table1[[#This Row],[Sales]]*100</f>
        <v>100</v>
      </c>
    </row>
    <row r="385" spans="1:14" x14ac:dyDescent="0.25">
      <c r="A385" t="s">
        <v>393</v>
      </c>
      <c r="B385" s="1">
        <v>45541</v>
      </c>
      <c r="C385" t="s">
        <v>492</v>
      </c>
      <c r="D385" t="s">
        <v>551</v>
      </c>
      <c r="E385" t="s">
        <v>553</v>
      </c>
      <c r="F385" t="s">
        <v>576</v>
      </c>
      <c r="G385">
        <v>7</v>
      </c>
      <c r="H385">
        <v>2582</v>
      </c>
      <c r="I385">
        <v>18074</v>
      </c>
      <c r="J385">
        <f t="shared" si="5"/>
        <v>18074</v>
      </c>
      <c r="K385" t="str">
        <f>IF(Table1[[#This Row],[Quantity]]*Table1[[#This Row],[Unit_Price]]=Table1[[#This Row],[Sales]],"Match","Mismatch")</f>
        <v>Match</v>
      </c>
      <c r="L385">
        <f>Table1[[#This Row],[Profit]]/Table1[[#This Row],[Sales]]*100</f>
        <v>100</v>
      </c>
    </row>
    <row r="386" spans="1:14" x14ac:dyDescent="0.25">
      <c r="A386" t="s">
        <v>394</v>
      </c>
      <c r="B386" s="1">
        <v>45589</v>
      </c>
      <c r="C386" t="s">
        <v>413</v>
      </c>
      <c r="D386" t="s">
        <v>551</v>
      </c>
      <c r="E386" t="s">
        <v>556</v>
      </c>
      <c r="F386" t="s">
        <v>569</v>
      </c>
      <c r="G386">
        <v>1</v>
      </c>
      <c r="H386">
        <v>1641</v>
      </c>
      <c r="I386">
        <v>1641</v>
      </c>
      <c r="J386">
        <f t="shared" si="5"/>
        <v>1641</v>
      </c>
      <c r="K386" t="str">
        <f>IF(Table1[[#This Row],[Quantity]]*Table1[[#This Row],[Unit_Price]]=Table1[[#This Row],[Sales]],"Match","Mismatch")</f>
        <v>Match</v>
      </c>
      <c r="L386">
        <f>Table1[[#This Row],[Profit]]/Table1[[#This Row],[Sales]]*100</f>
        <v>100</v>
      </c>
    </row>
    <row r="387" spans="1:14" x14ac:dyDescent="0.25">
      <c r="A387" t="s">
        <v>395</v>
      </c>
      <c r="B387" s="1">
        <v>45516</v>
      </c>
      <c r="C387" t="s">
        <v>532</v>
      </c>
      <c r="D387" t="s">
        <v>550</v>
      </c>
      <c r="E387" t="s">
        <v>555</v>
      </c>
      <c r="F387" t="s">
        <v>566</v>
      </c>
      <c r="G387">
        <v>8</v>
      </c>
      <c r="H387">
        <v>3179</v>
      </c>
      <c r="I387">
        <v>25432</v>
      </c>
      <c r="J387">
        <f t="shared" ref="J387:J401" si="6">IF(ISBLANK(I387),$J$2:$J$401,I387)</f>
        <v>25432</v>
      </c>
      <c r="K387" t="str">
        <f>IF(Table1[[#This Row],[Quantity]]*Table1[[#This Row],[Unit_Price]]=Table1[[#This Row],[Sales]],"Match","Mismatch")</f>
        <v>Match</v>
      </c>
      <c r="L387">
        <f>Table1[[#This Row],[Profit]]/Table1[[#This Row],[Sales]]*100</f>
        <v>100</v>
      </c>
    </row>
    <row r="388" spans="1:14" x14ac:dyDescent="0.25">
      <c r="A388" t="s">
        <v>396</v>
      </c>
      <c r="B388" s="1">
        <v>45311</v>
      </c>
      <c r="C388" t="s">
        <v>421</v>
      </c>
      <c r="D388" t="s">
        <v>549</v>
      </c>
      <c r="E388" t="s">
        <v>554</v>
      </c>
      <c r="F388" t="s">
        <v>573</v>
      </c>
      <c r="G388">
        <v>3</v>
      </c>
      <c r="H388">
        <v>1997</v>
      </c>
      <c r="I388">
        <v>5991</v>
      </c>
      <c r="J388">
        <f t="shared" si="6"/>
        <v>5991</v>
      </c>
      <c r="K388" t="str">
        <f>IF(Table1[[#This Row],[Quantity]]*Table1[[#This Row],[Unit_Price]]=Table1[[#This Row],[Sales]],"Match","Mismatch")</f>
        <v>Match</v>
      </c>
      <c r="L388">
        <f>Table1[[#This Row],[Profit]]/Table1[[#This Row],[Sales]]*100</f>
        <v>100</v>
      </c>
    </row>
    <row r="389" spans="1:14" x14ac:dyDescent="0.25">
      <c r="A389" t="s">
        <v>397</v>
      </c>
      <c r="B389" s="1">
        <v>45425</v>
      </c>
      <c r="C389" t="s">
        <v>457</v>
      </c>
      <c r="D389" t="s">
        <v>549</v>
      </c>
      <c r="E389" t="s">
        <v>553</v>
      </c>
      <c r="F389" t="s">
        <v>557</v>
      </c>
      <c r="G389">
        <v>2</v>
      </c>
      <c r="H389">
        <v>4590</v>
      </c>
      <c r="I389">
        <v>9180</v>
      </c>
      <c r="J389">
        <f t="shared" si="6"/>
        <v>9180</v>
      </c>
      <c r="K389" t="str">
        <f>IF(Table1[[#This Row],[Quantity]]*Table1[[#This Row],[Unit_Price]]=Table1[[#This Row],[Sales]],"Match","Mismatch")</f>
        <v>Match</v>
      </c>
      <c r="L389">
        <f>Table1[[#This Row],[Profit]]/Table1[[#This Row],[Sales]]*100</f>
        <v>100</v>
      </c>
    </row>
    <row r="390" spans="1:14" x14ac:dyDescent="0.25">
      <c r="A390" t="s">
        <v>398</v>
      </c>
      <c r="B390" s="1">
        <v>45522</v>
      </c>
      <c r="C390" t="s">
        <v>439</v>
      </c>
      <c r="D390" t="s">
        <v>551</v>
      </c>
      <c r="E390" t="s">
        <v>553</v>
      </c>
      <c r="F390" t="s">
        <v>571</v>
      </c>
      <c r="G390">
        <v>3</v>
      </c>
      <c r="H390">
        <v>4209</v>
      </c>
      <c r="I390">
        <v>12627</v>
      </c>
      <c r="J390">
        <f t="shared" si="6"/>
        <v>12627</v>
      </c>
      <c r="K390" t="str">
        <f>IF(Table1[[#This Row],[Quantity]]*Table1[[#This Row],[Unit_Price]]=Table1[[#This Row],[Sales]],"Match","Mismatch")</f>
        <v>Match</v>
      </c>
      <c r="L390">
        <f>Table1[[#This Row],[Profit]]/Table1[[#This Row],[Sales]]*100</f>
        <v>100</v>
      </c>
    </row>
    <row r="391" spans="1:14" x14ac:dyDescent="0.25">
      <c r="A391" t="s">
        <v>399</v>
      </c>
      <c r="B391" s="1">
        <v>45467</v>
      </c>
      <c r="C391" t="s">
        <v>448</v>
      </c>
      <c r="D391" t="s">
        <v>551</v>
      </c>
      <c r="E391" t="s">
        <v>554</v>
      </c>
      <c r="F391" t="s">
        <v>574</v>
      </c>
      <c r="G391">
        <v>5</v>
      </c>
      <c r="H391">
        <v>1594</v>
      </c>
      <c r="I391">
        <v>7970</v>
      </c>
      <c r="J391">
        <f t="shared" si="6"/>
        <v>7970</v>
      </c>
      <c r="K391" t="str">
        <f>IF(Table1[[#This Row],[Quantity]]*Table1[[#This Row],[Unit_Price]]=Table1[[#This Row],[Sales]],"Match","Mismatch")</f>
        <v>Match</v>
      </c>
      <c r="L391">
        <f>Table1[[#This Row],[Profit]]/Table1[[#This Row],[Sales]]*100</f>
        <v>100</v>
      </c>
    </row>
    <row r="392" spans="1:14" x14ac:dyDescent="0.25">
      <c r="A392" t="s">
        <v>400</v>
      </c>
      <c r="B392" s="1">
        <v>45306</v>
      </c>
      <c r="C392" t="s">
        <v>498</v>
      </c>
      <c r="D392" t="s">
        <v>549</v>
      </c>
      <c r="E392" t="s">
        <v>556</v>
      </c>
      <c r="F392" t="s">
        <v>569</v>
      </c>
      <c r="G392">
        <v>8</v>
      </c>
      <c r="H392">
        <v>4481</v>
      </c>
      <c r="I392">
        <v>35848</v>
      </c>
      <c r="J392">
        <f t="shared" si="6"/>
        <v>35848</v>
      </c>
      <c r="K392" t="str">
        <f>IF(Table1[[#This Row],[Quantity]]*Table1[[#This Row],[Unit_Price]]=Table1[[#This Row],[Sales]],"Match","Mismatch")</f>
        <v>Match</v>
      </c>
      <c r="L392">
        <f>Table1[[#This Row],[Profit]]/Table1[[#This Row],[Sales]]*100</f>
        <v>100</v>
      </c>
    </row>
    <row r="393" spans="1:14" x14ac:dyDescent="0.25">
      <c r="A393" t="s">
        <v>401</v>
      </c>
      <c r="B393" s="1">
        <v>45297</v>
      </c>
      <c r="C393" t="s">
        <v>471</v>
      </c>
      <c r="D393" t="s">
        <v>549</v>
      </c>
      <c r="E393" t="s">
        <v>553</v>
      </c>
      <c r="F393" t="s">
        <v>571</v>
      </c>
      <c r="G393">
        <v>7</v>
      </c>
      <c r="H393">
        <v>1469</v>
      </c>
      <c r="I393">
        <v>10283</v>
      </c>
      <c r="J393">
        <f t="shared" si="6"/>
        <v>10283</v>
      </c>
      <c r="K393" t="str">
        <f>IF(Table1[[#This Row],[Quantity]]*Table1[[#This Row],[Unit_Price]]=Table1[[#This Row],[Sales]],"Match","Mismatch")</f>
        <v>Match</v>
      </c>
      <c r="L393">
        <f>Table1[[#This Row],[Profit]]/Table1[[#This Row],[Sales]]*100</f>
        <v>100</v>
      </c>
    </row>
    <row r="394" spans="1:14" x14ac:dyDescent="0.25">
      <c r="A394" t="s">
        <v>402</v>
      </c>
      <c r="B394" s="1">
        <v>45410</v>
      </c>
      <c r="C394" t="s">
        <v>492</v>
      </c>
      <c r="D394" t="s">
        <v>550</v>
      </c>
      <c r="E394" t="s">
        <v>555</v>
      </c>
      <c r="F394" t="s">
        <v>559</v>
      </c>
      <c r="G394">
        <v>7</v>
      </c>
      <c r="H394">
        <v>4932</v>
      </c>
      <c r="I394">
        <v>34524</v>
      </c>
      <c r="J394">
        <f t="shared" si="6"/>
        <v>34524</v>
      </c>
      <c r="K394" t="str">
        <f>IF(Table1[[#This Row],[Quantity]]*Table1[[#This Row],[Unit_Price]]=Table1[[#This Row],[Sales]],"Match","Mismatch")</f>
        <v>Match</v>
      </c>
      <c r="L394">
        <f>Table1[[#This Row],[Profit]]/Table1[[#This Row],[Sales]]*100</f>
        <v>100</v>
      </c>
    </row>
    <row r="395" spans="1:14" x14ac:dyDescent="0.25">
      <c r="A395" t="s">
        <v>403</v>
      </c>
      <c r="B395" s="1">
        <v>45388</v>
      </c>
      <c r="C395" t="s">
        <v>545</v>
      </c>
      <c r="D395" t="s">
        <v>550</v>
      </c>
      <c r="E395" t="s">
        <v>553</v>
      </c>
      <c r="F395" t="s">
        <v>571</v>
      </c>
      <c r="G395">
        <v>7</v>
      </c>
      <c r="H395">
        <v>3914</v>
      </c>
      <c r="I395">
        <v>27398</v>
      </c>
      <c r="J395">
        <f t="shared" si="6"/>
        <v>27398</v>
      </c>
      <c r="K395" t="str">
        <f>IF(Table1[[#This Row],[Quantity]]*Table1[[#This Row],[Unit_Price]]=Table1[[#This Row],[Sales]],"Match","Mismatch")</f>
        <v>Match</v>
      </c>
      <c r="L395">
        <f>Table1[[#This Row],[Profit]]/Table1[[#This Row],[Sales]]*100</f>
        <v>100</v>
      </c>
    </row>
    <row r="396" spans="1:14" x14ac:dyDescent="0.25">
      <c r="A396" t="s">
        <v>404</v>
      </c>
      <c r="B396" s="1">
        <v>45612</v>
      </c>
      <c r="C396" t="s">
        <v>418</v>
      </c>
      <c r="D396" t="s">
        <v>549</v>
      </c>
      <c r="E396" t="s">
        <v>555</v>
      </c>
      <c r="F396" t="s">
        <v>570</v>
      </c>
      <c r="G396">
        <v>8</v>
      </c>
      <c r="H396">
        <v>729</v>
      </c>
      <c r="I396">
        <v>5832</v>
      </c>
      <c r="J396">
        <f t="shared" si="6"/>
        <v>5832</v>
      </c>
      <c r="K396" t="str">
        <f>IF(Table1[[#This Row],[Quantity]]*Table1[[#This Row],[Unit_Price]]=Table1[[#This Row],[Sales]],"Match","Mismatch")</f>
        <v>Match</v>
      </c>
      <c r="L396">
        <f>Table1[[#This Row],[Profit]]/Table1[[#This Row],[Sales]]*100</f>
        <v>100</v>
      </c>
    </row>
    <row r="397" spans="1:14" x14ac:dyDescent="0.25">
      <c r="A397" t="s">
        <v>405</v>
      </c>
      <c r="B397" s="1">
        <v>45593</v>
      </c>
      <c r="C397" t="s">
        <v>484</v>
      </c>
      <c r="D397" t="s">
        <v>550</v>
      </c>
      <c r="E397" t="s">
        <v>554</v>
      </c>
      <c r="F397" t="s">
        <v>574</v>
      </c>
      <c r="G397">
        <v>1</v>
      </c>
      <c r="H397">
        <v>3823</v>
      </c>
      <c r="I397">
        <v>3823</v>
      </c>
      <c r="J397">
        <f t="shared" si="6"/>
        <v>3823</v>
      </c>
      <c r="K397" t="str">
        <f>IF(Table1[[#This Row],[Quantity]]*Table1[[#This Row],[Unit_Price]]=Table1[[#This Row],[Sales]],"Match","Mismatch")</f>
        <v>Match</v>
      </c>
      <c r="L397">
        <f>Table1[[#This Row],[Profit]]/Table1[[#This Row],[Sales]]*100</f>
        <v>100</v>
      </c>
    </row>
    <row r="398" spans="1:14" x14ac:dyDescent="0.25">
      <c r="A398" t="s">
        <v>406</v>
      </c>
      <c r="B398" s="1">
        <v>45427</v>
      </c>
      <c r="C398" t="s">
        <v>442</v>
      </c>
      <c r="D398" t="s">
        <v>550</v>
      </c>
      <c r="E398" t="s">
        <v>555</v>
      </c>
      <c r="F398" t="s">
        <v>559</v>
      </c>
      <c r="G398">
        <v>4</v>
      </c>
      <c r="H398">
        <v>3158</v>
      </c>
      <c r="I398">
        <v>12632</v>
      </c>
      <c r="J398">
        <f t="shared" si="6"/>
        <v>12632</v>
      </c>
      <c r="K398" t="str">
        <f>IF(Table1[[#This Row],[Quantity]]*Table1[[#This Row],[Unit_Price]]=Table1[[#This Row],[Sales]],"Match","Mismatch")</f>
        <v>Match</v>
      </c>
      <c r="L398">
        <f>Table1[[#This Row],[Profit]]/Table1[[#This Row],[Sales]]*100</f>
        <v>100</v>
      </c>
    </row>
    <row r="399" spans="1:14" x14ac:dyDescent="0.25">
      <c r="A399" t="s">
        <v>407</v>
      </c>
      <c r="B399" s="1">
        <v>45416</v>
      </c>
      <c r="C399" t="s">
        <v>531</v>
      </c>
      <c r="D399" t="s">
        <v>552</v>
      </c>
      <c r="E399" t="s">
        <v>554</v>
      </c>
      <c r="F399" t="s">
        <v>558</v>
      </c>
      <c r="G399">
        <v>6</v>
      </c>
      <c r="H399">
        <v>3114</v>
      </c>
      <c r="I399">
        <v>18684</v>
      </c>
      <c r="J399">
        <f t="shared" si="6"/>
        <v>18684</v>
      </c>
      <c r="K399" t="str">
        <f>IF(Table1[[#This Row],[Quantity]]*Table1[[#This Row],[Unit_Price]]=Table1[[#This Row],[Sales]],"Match","Mismatch")</f>
        <v>Match</v>
      </c>
      <c r="L399">
        <f>Table1[[#This Row],[Profit]]/Table1[[#This Row],[Sales]]*100</f>
        <v>100</v>
      </c>
    </row>
    <row r="400" spans="1:14" x14ac:dyDescent="0.25">
      <c r="A400" t="s">
        <v>408</v>
      </c>
      <c r="B400" s="1">
        <v>45333</v>
      </c>
      <c r="C400" t="s">
        <v>478</v>
      </c>
      <c r="D400" t="s">
        <v>550</v>
      </c>
      <c r="E400" t="s">
        <v>555</v>
      </c>
      <c r="F400" t="s">
        <v>570</v>
      </c>
      <c r="G400">
        <v>9</v>
      </c>
      <c r="H400">
        <v>3791</v>
      </c>
      <c r="I400">
        <v>34119</v>
      </c>
      <c r="J400">
        <f t="shared" si="6"/>
        <v>34119</v>
      </c>
      <c r="K400" t="str">
        <f>IF(Table1[[#This Row],[Quantity]]*Table1[[#This Row],[Unit_Price]]=Table1[[#This Row],[Sales]],"Match","Mismatch")</f>
        <v>Match</v>
      </c>
      <c r="L400">
        <f>Table1[[#This Row],[Profit]]/Table1[[#This Row],[Sales]]*100</f>
        <v>100</v>
      </c>
      <c r="N400" t="s">
        <v>577</v>
      </c>
    </row>
    <row r="401" spans="1:12" x14ac:dyDescent="0.25">
      <c r="A401" t="s">
        <v>409</v>
      </c>
      <c r="B401" s="1">
        <v>45365</v>
      </c>
      <c r="C401" t="s">
        <v>469</v>
      </c>
      <c r="D401" t="s">
        <v>551</v>
      </c>
      <c r="E401" t="s">
        <v>554</v>
      </c>
      <c r="F401" t="s">
        <v>558</v>
      </c>
      <c r="G401">
        <v>2</v>
      </c>
      <c r="H401">
        <v>2347</v>
      </c>
      <c r="I401">
        <v>4694</v>
      </c>
      <c r="J401">
        <f t="shared" si="6"/>
        <v>4694</v>
      </c>
      <c r="K401" t="str">
        <f>IF(Table1[[#This Row],[Quantity]]*Table1[[#This Row],[Unit_Price]]=Table1[[#This Row],[Sales]],"Match","Mismatch")</f>
        <v>Match</v>
      </c>
      <c r="L401">
        <f>Table1[[#This Row],[Profit]]/Table1[[#This Row],[Sales]]*100</f>
        <v>100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B63B1D3-AE3B-4FE8-810C-049A37BED93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monthly_sales</vt:lpstr>
      <vt:lpstr>Sheet6</vt:lpstr>
      <vt:lpstr>Sheet7</vt:lpstr>
      <vt:lpstr>Sheet8</vt:lpstr>
      <vt:lpstr>Dashboard</vt:lpstr>
      <vt:lpstr>Sheet11</vt:lpstr>
      <vt:lpstr>KPIs</vt:lpstr>
      <vt:lpstr>Table1</vt:lpstr>
      <vt:lpstr>regional_total_sales</vt:lpstr>
      <vt:lpstr>top_5_products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c:creator>
  <cp:lastModifiedBy>as</cp:lastModifiedBy>
  <dcterms:created xsi:type="dcterms:W3CDTF">2025-10-17T18:31:51Z</dcterms:created>
  <dcterms:modified xsi:type="dcterms:W3CDTF">2025-11-05T08:23:39Z</dcterms:modified>
</cp:coreProperties>
</file>